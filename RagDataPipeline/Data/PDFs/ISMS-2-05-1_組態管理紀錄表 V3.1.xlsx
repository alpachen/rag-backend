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03"/>
  <workbookPr/>
  <mc:AlternateContent xmlns:mc="http://schemas.openxmlformats.org/markup-compatibility/2006">
    <mc:Choice Requires="x15">
      <x15ac:absPath xmlns:x15ac="http://schemas.microsoft.com/office/spreadsheetml/2010/11/ac" url="https://skmh.sharepoint.com/sites/SKHISMS/Shared Documents/資安/ISO 27001/ISO27001轉版新驗/00.1-4階文件修正(顧問上傳)/ISMS-2-05_資通資產管理程序書/"/>
    </mc:Choice>
  </mc:AlternateContent>
  <xr:revisionPtr revIDLastSave="71" documentId="13_ncr:1_{D2CAA7CE-A02E-4F16-AC05-7A81275B9F67}" xr6:coauthVersionLast="47" xr6:coauthVersionMax="47" xr10:uidLastSave="{0567BA4F-F486-46AD-9A3A-12B72E1E072D}"/>
  <bookViews>
    <workbookView xWindow="-120" yWindow="-120" windowWidth="29040" windowHeight="15840" firstSheet="3" activeTab="9" xr2:uid="{00000000-000D-0000-FFFF-FFFF00000000}"/>
  </bookViews>
  <sheets>
    <sheet name="資產清冊" sheetId="9" state="hidden" r:id="rId1"/>
    <sheet name="入風險評鑑" sheetId="20" state="hidden" r:id="rId2"/>
    <sheet name="等級評估表" sheetId="21" state="hidden" r:id="rId3"/>
    <sheet name="系統(AP)組態" sheetId="22" r:id="rId4"/>
    <sheet name="硬體組態" sheetId="23" r:id="rId5"/>
    <sheet name="軟體(OS)組態" sheetId="24" r:id="rId6"/>
    <sheet name="軟體(DB)組態" sheetId="26" r:id="rId7"/>
    <sheet name="網路組態" sheetId="25" r:id="rId8"/>
    <sheet name="服務組態" sheetId="27" r:id="rId9"/>
    <sheet name="雲端組態" sheetId="28" r:id="rId10"/>
    <sheet name="Sheet1" sheetId="8" state="hidden" r:id="rId11"/>
  </sheets>
  <definedNames>
    <definedName name="_xlnm._FilterDatabase" localSheetId="1" hidden="1">入風險評鑑!#REF!</definedName>
    <definedName name="_xlnm._FilterDatabase" localSheetId="0" hidden="1">資產清冊!$A$1:$N$111</definedName>
    <definedName name="_xlnm.Print_Area" localSheetId="10">Sheet1!$A$1:$K$114</definedName>
    <definedName name="_xlnm.Print_Titles" localSheetId="10">Sheet1!$1:$1</definedName>
    <definedName name="_xlnm.Print_Titles" localSheetId="0">資產清冊!$1:$1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0" i="9" l="1"/>
  <c r="N81"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2" i="9"/>
  <c r="L46" i="9"/>
  <c r="L12" i="9"/>
  <c r="L22" i="9"/>
  <c r="L21" i="9"/>
  <c r="L20" i="9"/>
  <c r="L99" i="9" l="1"/>
  <c r="L95" i="9"/>
  <c r="L52" i="9"/>
  <c r="L45" i="9"/>
  <c r="L44" i="9"/>
  <c r="L68" i="9" l="1"/>
  <c r="L67" i="9"/>
  <c r="L66" i="9"/>
  <c r="L65" i="9"/>
  <c r="L64" i="9"/>
  <c r="L43" i="9"/>
  <c r="L53" i="9"/>
  <c r="L50" i="9"/>
  <c r="L98" i="9"/>
  <c r="L97" i="9"/>
  <c r="L41" i="9"/>
  <c r="L63" i="9"/>
  <c r="L69" i="9" l="1"/>
  <c r="L62" i="9"/>
  <c r="L61" i="9"/>
  <c r="L94" i="9"/>
  <c r="L93" i="9"/>
  <c r="L92" i="9"/>
  <c r="L60" i="9"/>
  <c r="L71" i="9"/>
  <c r="L75" i="9"/>
  <c r="L74" i="9"/>
  <c r="L3" i="9" l="1"/>
  <c r="L4" i="9"/>
  <c r="L5" i="9"/>
  <c r="L6" i="9"/>
  <c r="L7" i="9"/>
  <c r="L8" i="9"/>
  <c r="L9" i="9"/>
  <c r="L10" i="9"/>
  <c r="L11" i="9"/>
  <c r="L13" i="9"/>
  <c r="L14" i="9"/>
  <c r="L15" i="9"/>
  <c r="L16" i="9"/>
  <c r="L17" i="9"/>
  <c r="L18" i="9"/>
  <c r="L19" i="9"/>
  <c r="L23" i="9"/>
  <c r="L24" i="9"/>
  <c r="L25" i="9"/>
  <c r="L26" i="9"/>
  <c r="L27" i="9"/>
  <c r="L28" i="9"/>
  <c r="L29" i="9"/>
  <c r="L30" i="9"/>
  <c r="L31" i="9"/>
  <c r="L32" i="9"/>
  <c r="L33" i="9"/>
  <c r="L34" i="9"/>
  <c r="L35" i="9"/>
  <c r="L36" i="9"/>
  <c r="L37" i="9"/>
  <c r="L38" i="9"/>
  <c r="L39" i="9"/>
  <c r="L40" i="9"/>
  <c r="L42" i="9"/>
  <c r="L47" i="9"/>
  <c r="L48" i="9"/>
  <c r="L49" i="9"/>
  <c r="L51" i="9"/>
  <c r="L54" i="9"/>
  <c r="L55" i="9"/>
  <c r="L56" i="9"/>
  <c r="L57" i="9"/>
  <c r="L58" i="9"/>
  <c r="L59" i="9"/>
  <c r="L70" i="9"/>
  <c r="L72" i="9"/>
  <c r="L73" i="9"/>
  <c r="L76" i="9"/>
  <c r="L77" i="9"/>
  <c r="L78" i="9"/>
  <c r="L79" i="9"/>
  <c r="L82" i="9"/>
  <c r="L83" i="9"/>
  <c r="L84" i="9"/>
  <c r="L85" i="9"/>
  <c r="L86" i="9"/>
  <c r="L87" i="9"/>
  <c r="L88" i="9"/>
  <c r="L89" i="9"/>
  <c r="L90" i="9"/>
  <c r="L91" i="9"/>
  <c r="L100" i="9"/>
  <c r="L101" i="9"/>
  <c r="L102" i="9"/>
  <c r="L103" i="9"/>
  <c r="L104" i="9"/>
  <c r="L105" i="9"/>
  <c r="L106" i="9"/>
  <c r="L107" i="9"/>
  <c r="L108" i="9"/>
  <c r="L109" i="9"/>
  <c r="L110" i="9"/>
  <c r="L111" i="9"/>
  <c r="L2" i="9"/>
</calcChain>
</file>

<file path=xl/sharedStrings.xml><?xml version="1.0" encoding="utf-8"?>
<sst xmlns="http://schemas.openxmlformats.org/spreadsheetml/2006/main" count="2332" uniqueCount="801">
  <si>
    <t>代號</t>
  </si>
  <si>
    <t>類別</t>
    <phoneticPr fontId="4" type="noConversion"/>
  </si>
  <si>
    <t>編號</t>
    <phoneticPr fontId="4" type="noConversion"/>
  </si>
  <si>
    <t>資產項目</t>
    <phoneticPr fontId="4" type="noConversion"/>
  </si>
  <si>
    <t>資產描述</t>
  </si>
  <si>
    <t>保管人</t>
  </si>
  <si>
    <t>使用人</t>
  </si>
  <si>
    <t>放置地點</t>
  </si>
  <si>
    <t>資產價值 
(  C  ,  I  ,  A  )</t>
    <phoneticPr fontId="4" type="noConversion"/>
  </si>
  <si>
    <t>資產價
值等級</t>
    <phoneticPr fontId="4" type="noConversion"/>
  </si>
  <si>
    <t>I</t>
  </si>
  <si>
    <t>文件</t>
  </si>
  <si>
    <t>F001</t>
  </si>
  <si>
    <t>網路架構圖</t>
  </si>
  <si>
    <t>張詩聖</t>
  </si>
  <si>
    <t>資訊室</t>
    <phoneticPr fontId="4" type="noConversion"/>
  </si>
  <si>
    <t>F002</t>
  </si>
  <si>
    <t>ISMS手冊</t>
  </si>
  <si>
    <t>資訊安全政策、資產評估與管理作業程序...</t>
  </si>
  <si>
    <t>F003</t>
  </si>
  <si>
    <t>管制性文件與紀錄</t>
  </si>
  <si>
    <t>F004</t>
  </si>
  <si>
    <t>ISMS風險評鑑紀錄</t>
  </si>
  <si>
    <t>資產清冊、風險評鑑報告、風險處理計畫</t>
  </si>
  <si>
    <t>F005</t>
  </si>
  <si>
    <t>ISMS執行紀錄</t>
  </si>
  <si>
    <t>內部稽核計畫、報告、管理審查紀錄…</t>
  </si>
  <si>
    <t>F006</t>
  </si>
  <si>
    <t>緊急通訊錄</t>
  </si>
  <si>
    <t>發生緊急狀況時廠商人員電話</t>
  </si>
  <si>
    <t>F007</t>
  </si>
  <si>
    <t>門禁卡片申請名單</t>
  </si>
  <si>
    <t>門禁卡片人員申請名冊</t>
  </si>
  <si>
    <t>F008</t>
  </si>
  <si>
    <t>空調、門禁維護記錄</t>
  </si>
  <si>
    <t>F009</t>
  </si>
  <si>
    <t>核心系統伺服器端系統安裝操作手冊</t>
    <phoneticPr fontId="4" type="noConversion"/>
  </si>
  <si>
    <t>機房運作管理作業</t>
  </si>
  <si>
    <t>張裕仁</t>
  </si>
  <si>
    <t>F010</t>
  </si>
  <si>
    <t>核心系統使用者操作手冊</t>
    <phoneticPr fontId="4" type="noConversion"/>
  </si>
  <si>
    <t>機房運作安全管理作業</t>
  </si>
  <si>
    <t>F011</t>
  </si>
  <si>
    <t>個人資料紙本檔案</t>
    <phoneticPr fontId="4" type="noConversion"/>
  </si>
  <si>
    <t>人員個人資料紙本檔案</t>
    <phoneticPr fontId="4" type="noConversion"/>
  </si>
  <si>
    <t>授權人員</t>
    <phoneticPr fontId="4" type="noConversion"/>
  </si>
  <si>
    <t>人事室</t>
    <phoneticPr fontId="4" type="noConversion"/>
  </si>
  <si>
    <t>資料庫</t>
  </si>
  <si>
    <t>D001</t>
  </si>
  <si>
    <t>核心系統儲存在資料庫主機資料</t>
    <phoneticPr fontId="4" type="noConversion"/>
  </si>
  <si>
    <t>核心系統資料</t>
    <phoneticPr fontId="4" type="noConversion"/>
  </si>
  <si>
    <t>機房</t>
    <phoneticPr fontId="4" type="noConversion"/>
  </si>
  <si>
    <t>D002</t>
  </si>
  <si>
    <t>門禁刷卡資料</t>
  </si>
  <si>
    <t>D003</t>
  </si>
  <si>
    <t>監視錄影資料</t>
  </si>
  <si>
    <t>監視錄影log</t>
  </si>
  <si>
    <t>D004</t>
  </si>
  <si>
    <t>儲存在備份中的資料</t>
  </si>
  <si>
    <t>核心系統管理資料</t>
    <phoneticPr fontId="4" type="noConversion"/>
  </si>
  <si>
    <t>D005</t>
  </si>
  <si>
    <t>核心系統稽核資料</t>
    <phoneticPr fontId="4" type="noConversion"/>
  </si>
  <si>
    <t>核心系統非上班時間使用資料</t>
    <phoneticPr fontId="4" type="noConversion"/>
  </si>
  <si>
    <t>D006</t>
  </si>
  <si>
    <t>核心系統查詢資料</t>
    <phoneticPr fontId="4" type="noConversion"/>
  </si>
  <si>
    <t>承辦人核心系統查詢資料</t>
    <phoneticPr fontId="4" type="noConversion"/>
  </si>
  <si>
    <t>D007</t>
  </si>
  <si>
    <t>儲存在醫療資訊系統資料庫主機資料</t>
  </si>
  <si>
    <t>醫療資訊系統資料</t>
  </si>
  <si>
    <t>D008</t>
  </si>
  <si>
    <t>重要設備組態檔</t>
    <phoneticPr fontId="4" type="noConversion"/>
  </si>
  <si>
    <t>伺服主機、網通設備組態檔</t>
    <phoneticPr fontId="4" type="noConversion"/>
  </si>
  <si>
    <t>D009</t>
  </si>
  <si>
    <t>重要設備事件日誌</t>
    <phoneticPr fontId="4" type="noConversion"/>
  </si>
  <si>
    <t>系統日誌、設備日誌檔</t>
    <phoneticPr fontId="4" type="noConversion"/>
  </si>
  <si>
    <t>D010</t>
  </si>
  <si>
    <t>醫事金鑰憑證</t>
    <phoneticPr fontId="4" type="noConversion"/>
  </si>
  <si>
    <t>系統傳輸金鑰</t>
    <phoneticPr fontId="4" type="noConversion"/>
  </si>
  <si>
    <t>V</t>
  </si>
  <si>
    <t>服務</t>
  </si>
  <si>
    <t>V001</t>
  </si>
  <si>
    <t>核心系統硬體服務</t>
    <phoneticPr fontId="4" type="noConversion"/>
  </si>
  <si>
    <t>委外廠商</t>
    <phoneticPr fontId="4" type="noConversion"/>
  </si>
  <si>
    <t>V002</t>
  </si>
  <si>
    <t>核心系統軟體服務</t>
    <phoneticPr fontId="4" type="noConversion"/>
  </si>
  <si>
    <t>委外廠商</t>
  </si>
  <si>
    <t>V003</t>
  </si>
  <si>
    <t>核心系統網路服務</t>
    <phoneticPr fontId="4" type="noConversion"/>
  </si>
  <si>
    <t>GSNVPN網路(中華電信)</t>
  </si>
  <si>
    <t>V004</t>
  </si>
  <si>
    <t>自動偵煙系統</t>
  </si>
  <si>
    <t>廠商提供檢測服務</t>
  </si>
  <si>
    <t>V005</t>
  </si>
  <si>
    <t>環境設備維護服務</t>
  </si>
  <si>
    <t>UPS、空調維護與保養服務</t>
  </si>
  <si>
    <t>V006</t>
  </si>
  <si>
    <t>監視系統維護服務</t>
  </si>
  <si>
    <t>監視系統維護廠商</t>
  </si>
  <si>
    <t>V007</t>
  </si>
  <si>
    <t>環境監控系統維護服務</t>
  </si>
  <si>
    <t>市電斷電、溫濕度異常、門禁系統、UPS異常等監控</t>
  </si>
  <si>
    <t>V008</t>
  </si>
  <si>
    <t>電力服務</t>
  </si>
  <si>
    <t>台電提供電力服務</t>
  </si>
  <si>
    <t>S</t>
  </si>
  <si>
    <t>軟體</t>
  </si>
  <si>
    <t>S001</t>
  </si>
  <si>
    <t>電子病歷主機系統軟體</t>
  </si>
  <si>
    <t>電子病歷資訊系統軟體</t>
  </si>
  <si>
    <t>S002</t>
    <phoneticPr fontId="4" type="noConversion"/>
  </si>
  <si>
    <t xml:space="preserve">Oracle </t>
  </si>
  <si>
    <t>HIS 資料庫</t>
  </si>
  <si>
    <t>S003</t>
  </si>
  <si>
    <t xml:space="preserve">SQL SERVER </t>
  </si>
  <si>
    <t>電子病歷資料庫</t>
  </si>
  <si>
    <t>S004</t>
  </si>
  <si>
    <t>S005</t>
  </si>
  <si>
    <t>windows Server 2003 R2</t>
  </si>
  <si>
    <t>電子病歷主機的OS</t>
  </si>
  <si>
    <t>S006</t>
  </si>
  <si>
    <t>windows 7</t>
  </si>
  <si>
    <t>環控、監視軟體主控台作業系統</t>
  </si>
  <si>
    <t>S007</t>
  </si>
  <si>
    <t>HIS主機系統軟體</t>
    <phoneticPr fontId="4" type="noConversion"/>
  </si>
  <si>
    <t>HIS資訊系統軟體(中榮系統)</t>
    <phoneticPr fontId="4" type="noConversion"/>
  </si>
  <si>
    <t>S008</t>
  </si>
  <si>
    <t>AIX</t>
  </si>
  <si>
    <t>HIS OS</t>
  </si>
  <si>
    <t>S009</t>
  </si>
  <si>
    <t>資管通</t>
  </si>
  <si>
    <t>資產管理</t>
  </si>
  <si>
    <t>S010</t>
  </si>
  <si>
    <t>windows Server 2016</t>
    <phoneticPr fontId="4" type="noConversion"/>
  </si>
  <si>
    <t>Officescan,TMCM的OS</t>
    <phoneticPr fontId="4" type="noConversion"/>
  </si>
  <si>
    <t>S011</t>
  </si>
  <si>
    <t>vSphere 6.7</t>
    <phoneticPr fontId="4" type="noConversion"/>
  </si>
  <si>
    <t>vm的OS</t>
  </si>
  <si>
    <t>S012</t>
  </si>
  <si>
    <t>vSphere 5.5</t>
  </si>
  <si>
    <t>S013</t>
  </si>
  <si>
    <t xml:space="preserve">NetBackup </t>
    <phoneticPr fontId="4" type="noConversion"/>
  </si>
  <si>
    <t>備份軟體</t>
    <phoneticPr fontId="4" type="noConversion"/>
  </si>
  <si>
    <t>S014</t>
  </si>
  <si>
    <t>windows server 2019</t>
    <phoneticPr fontId="4" type="noConversion"/>
  </si>
  <si>
    <t>PACs OS</t>
    <phoneticPr fontId="4" type="noConversion"/>
  </si>
  <si>
    <t>S015</t>
  </si>
  <si>
    <t>SQL SERVER 2019</t>
    <phoneticPr fontId="4" type="noConversion"/>
  </si>
  <si>
    <t>PACs DB</t>
    <phoneticPr fontId="4" type="noConversion"/>
  </si>
  <si>
    <t>S016</t>
  </si>
  <si>
    <t>windows 10</t>
    <phoneticPr fontId="4" type="noConversion"/>
  </si>
  <si>
    <t>個人電腦</t>
    <phoneticPr fontId="4" type="noConversion"/>
  </si>
  <si>
    <t>張裕仁</t>
    <phoneticPr fontId="4" type="noConversion"/>
  </si>
  <si>
    <t>資訊室人員</t>
    <phoneticPr fontId="4" type="noConversion"/>
  </si>
  <si>
    <t>N</t>
  </si>
  <si>
    <t>網路設備</t>
  </si>
  <si>
    <t>N001</t>
  </si>
  <si>
    <t>Cisco 1720 *2</t>
    <phoneticPr fontId="4" type="noConversion"/>
  </si>
  <si>
    <t>Router(連接蘇澳與市區門診)</t>
    <phoneticPr fontId="4" type="noConversion"/>
  </si>
  <si>
    <t>機房、市區門診</t>
    <phoneticPr fontId="4" type="noConversion"/>
  </si>
  <si>
    <t>N002</t>
  </si>
  <si>
    <t>Cisco 1921</t>
  </si>
  <si>
    <t>Router(台北榮總)</t>
  </si>
  <si>
    <t>N003</t>
  </si>
  <si>
    <t>Cisco 2801</t>
  </si>
  <si>
    <t>Router(員山分院)</t>
  </si>
  <si>
    <t>N004</t>
  </si>
  <si>
    <t>Fortigate FG201F*2</t>
    <phoneticPr fontId="4" type="noConversion"/>
  </si>
  <si>
    <t>防火牆(internet)</t>
  </si>
  <si>
    <t>N005</t>
  </si>
  <si>
    <t>Fortigate FG200D</t>
    <phoneticPr fontId="4" type="noConversion"/>
  </si>
  <si>
    <t>防火牆(intranet)</t>
  </si>
  <si>
    <t>N006</t>
  </si>
  <si>
    <t>Extreme Summit X460-48*2</t>
    <phoneticPr fontId="4" type="noConversion"/>
  </si>
  <si>
    <t>SWITCH</t>
    <phoneticPr fontId="4" type="noConversion"/>
  </si>
  <si>
    <t>N007</t>
  </si>
  <si>
    <t>Fortigate FG101F</t>
    <phoneticPr fontId="4" type="noConversion"/>
  </si>
  <si>
    <t>防火牆(internet)市區門診</t>
    <phoneticPr fontId="4" type="noConversion"/>
  </si>
  <si>
    <t>市區門診</t>
    <phoneticPr fontId="4" type="noConversion"/>
  </si>
  <si>
    <t>N008</t>
  </si>
  <si>
    <t xml:space="preserve">Extreme Summit X450a-48t </t>
    <phoneticPr fontId="4" type="noConversion"/>
  </si>
  <si>
    <t>Switch</t>
    <phoneticPr fontId="4" type="noConversion"/>
  </si>
  <si>
    <t>N009</t>
  </si>
  <si>
    <t xml:space="preserve">Extreme Summit X250e-48t </t>
    <phoneticPr fontId="4" type="noConversion"/>
  </si>
  <si>
    <t>Switch</t>
  </si>
  <si>
    <t>N010</t>
  </si>
  <si>
    <t>Extreme Summit X350-48 *3</t>
  </si>
  <si>
    <t>機房、
綜合大樓、
醫療大樓、
德寧大樓</t>
    <phoneticPr fontId="4" type="noConversion"/>
  </si>
  <si>
    <t>N011</t>
  </si>
  <si>
    <t xml:space="preserve">Extreme Summit X440-48 </t>
    <phoneticPr fontId="4" type="noConversion"/>
  </si>
  <si>
    <t>N012</t>
  </si>
  <si>
    <t>Dlink DGS-1224TP(L2)</t>
  </si>
  <si>
    <t>綜合大樓2f</t>
    <phoneticPr fontId="4" type="noConversion"/>
  </si>
  <si>
    <t>N013</t>
  </si>
  <si>
    <t>AscentLink 710</t>
  </si>
  <si>
    <t>Bandwidth Management</t>
  </si>
  <si>
    <t>N014</t>
  </si>
  <si>
    <t xml:space="preserve">IBM SAN24B-5 2498-X24 </t>
    <phoneticPr fontId="4" type="noConversion"/>
  </si>
  <si>
    <t>SanSwitch</t>
    <phoneticPr fontId="4" type="noConversion"/>
  </si>
  <si>
    <t>N015</t>
  </si>
  <si>
    <t>Extreme X620-10x</t>
    <phoneticPr fontId="4" type="noConversion"/>
  </si>
  <si>
    <t>N016</t>
  </si>
  <si>
    <t>QNAP QSW-1208-8C</t>
  </si>
  <si>
    <t>N</t>
    <phoneticPr fontId="4" type="noConversion"/>
  </si>
  <si>
    <t>N017</t>
  </si>
  <si>
    <t>Dlink DGS-1210-28P(L2)</t>
    <phoneticPr fontId="4" type="noConversion"/>
  </si>
  <si>
    <t>N018</t>
  </si>
  <si>
    <t>aruba 8320 10G交換器</t>
    <phoneticPr fontId="4" type="noConversion"/>
  </si>
  <si>
    <t>CORE SWITCH(stacking)</t>
  </si>
  <si>
    <t>N019</t>
  </si>
  <si>
    <t>aruba 7205無線控制器</t>
    <phoneticPr fontId="4" type="noConversion"/>
  </si>
  <si>
    <t>無線控制器</t>
    <phoneticPr fontId="4" type="noConversion"/>
  </si>
  <si>
    <t>N020</t>
  </si>
  <si>
    <t>aruba AP-515  無線AP*126</t>
    <phoneticPr fontId="4" type="noConversion"/>
  </si>
  <si>
    <t>無線AP</t>
    <phoneticPr fontId="4" type="noConversion"/>
  </si>
  <si>
    <t>門診大樓、
綜合大樓、
醫療大樓、
康寧居、德寧大樓</t>
    <phoneticPr fontId="4" type="noConversion"/>
  </si>
  <si>
    <t>修</t>
    <phoneticPr fontId="4" type="noConversion"/>
  </si>
  <si>
    <t>N021</t>
  </si>
  <si>
    <t>Juniper EX-2300-24P 交換器*12</t>
    <phoneticPr fontId="4" type="noConversion"/>
  </si>
  <si>
    <t>POE SWITCH</t>
    <phoneticPr fontId="4" type="noConversion"/>
  </si>
  <si>
    <t>綜合大樓、
醫療大樓、
康寧居、德寧大樓</t>
    <phoneticPr fontId="4" type="noConversion"/>
  </si>
  <si>
    <t>修</t>
  </si>
  <si>
    <t>N022</t>
  </si>
  <si>
    <t>F5 BIG-IP i2600</t>
    <phoneticPr fontId="4" type="noConversion"/>
  </si>
  <si>
    <t>中榮系統 load balancer</t>
    <phoneticPr fontId="4" type="noConversion"/>
  </si>
  <si>
    <t>H</t>
  </si>
  <si>
    <t>電腦主機</t>
  </si>
  <si>
    <t>H001</t>
    <phoneticPr fontId="4" type="noConversion"/>
  </si>
  <si>
    <t>Nutanix (VM)</t>
    <phoneticPr fontId="4" type="noConversion"/>
  </si>
  <si>
    <t>電子病歷GW(備機) 、 OfficeScan SERVER 、PACS WEB、院內資訊入口、網掛、網路 監控、藥品採購(HIS)、資管通、mail、病安通報、死亡通報、儀器連線、HIS UPDATE SERVER+測試環境、tmcm、dns、 WSUS SERVER</t>
    <phoneticPr fontId="4" type="noConversion"/>
  </si>
  <si>
    <t>H002</t>
  </si>
  <si>
    <t xml:space="preserve">HP ML150 G6 </t>
  </si>
  <si>
    <t>電子病歷GW</t>
  </si>
  <si>
    <t>H003</t>
  </si>
  <si>
    <t>HP DL380 G8 (VM)</t>
    <phoneticPr fontId="4" type="noConversion"/>
  </si>
  <si>
    <t>NIS SERVER(護理資訊系統)</t>
  </si>
  <si>
    <t>H004</t>
  </si>
  <si>
    <t>IBM P720</t>
  </si>
  <si>
    <t>醫療作業主機(HIS)</t>
  </si>
  <si>
    <t>H005</t>
  </si>
  <si>
    <t>HITACHI AMS200 ARRAY</t>
  </si>
  <si>
    <t>HIS 資料庫磁碟陣列</t>
  </si>
  <si>
    <t>H006</t>
  </si>
  <si>
    <t>備機</t>
    <phoneticPr fontId="4" type="noConversion"/>
  </si>
  <si>
    <t>H007</t>
  </si>
  <si>
    <t>H008</t>
  </si>
  <si>
    <t>HP DL380 G9 (VM)</t>
  </si>
  <si>
    <t xml:space="preserve"> Vm View</t>
  </si>
  <si>
    <t>H009</t>
  </si>
  <si>
    <t>H010</t>
  </si>
  <si>
    <t>HP DL380 G8 (VM)</t>
  </si>
  <si>
    <t>行政管理、</t>
  </si>
  <si>
    <t>H011</t>
  </si>
  <si>
    <t>IBM X3650 M3</t>
  </si>
  <si>
    <t>PACS SERVER(醫療影像)Client-Server</t>
    <phoneticPr fontId="4" type="noConversion"/>
  </si>
  <si>
    <t>H012</t>
  </si>
  <si>
    <t>IBM DS3400 ARRAY</t>
  </si>
  <si>
    <t>PACS 資料庫磁碟陣列</t>
  </si>
  <si>
    <t>H013</t>
  </si>
  <si>
    <t>IBM V3500 ARRAY</t>
  </si>
  <si>
    <t>H014</t>
  </si>
  <si>
    <t>PACS SERVER(市區門診)</t>
  </si>
  <si>
    <t>H015</t>
  </si>
  <si>
    <t>PACS 資料庫磁碟陣列(市區門診)</t>
  </si>
  <si>
    <t>H016</t>
  </si>
  <si>
    <t>H017</t>
  </si>
  <si>
    <t>DEll PowerEdge R740</t>
    <phoneticPr fontId="4" type="noConversion"/>
  </si>
  <si>
    <t>SMART WONDER(醫療影像)Web BASE</t>
    <phoneticPr fontId="4" type="noConversion"/>
  </si>
  <si>
    <t>H018</t>
  </si>
  <si>
    <t>H019</t>
  </si>
  <si>
    <t>Dell PowerEdge R610</t>
    <phoneticPr fontId="4" type="noConversion"/>
  </si>
  <si>
    <t>IEC GW(全國影像交換中心GateWay)</t>
  </si>
  <si>
    <t>H020</t>
  </si>
  <si>
    <t>IBM X3650 M3 *2</t>
  </si>
  <si>
    <t>電子病歷主機</t>
  </si>
  <si>
    <t>H021</t>
  </si>
  <si>
    <t>IBM DS3512 ARRAY</t>
  </si>
  <si>
    <t>電子病歷資料庫磁碟陣列</t>
    <phoneticPr fontId="4" type="noConversion"/>
  </si>
  <si>
    <t>H022</t>
  </si>
  <si>
    <t>HP P2000 G3 ARRAY (8T raid6)</t>
    <phoneticPr fontId="4" type="noConversion"/>
  </si>
  <si>
    <t>VM資料庫</t>
  </si>
  <si>
    <t>H023</t>
  </si>
  <si>
    <t>QNAP TS-EC879U-RP(NAS)8T</t>
  </si>
  <si>
    <t>VM資料庫備份</t>
  </si>
  <si>
    <t>H024</t>
  </si>
  <si>
    <t>IBM S922</t>
    <phoneticPr fontId="4" type="noConversion"/>
  </si>
  <si>
    <t>中榮系統主機</t>
    <phoneticPr fontId="4" type="noConversion"/>
  </si>
  <si>
    <t>H025</t>
  </si>
  <si>
    <t>IBM V5030 (5.17T raid6)</t>
    <phoneticPr fontId="4" type="noConversion"/>
  </si>
  <si>
    <t>中榮資料庫磁碟陣列</t>
    <phoneticPr fontId="4" type="noConversion"/>
  </si>
  <si>
    <t>H026</t>
  </si>
  <si>
    <t>中榮系統GATEWAY VM</t>
    <phoneticPr fontId="4" type="noConversion"/>
  </si>
  <si>
    <t>H027</t>
  </si>
  <si>
    <t>IBM P520</t>
    <phoneticPr fontId="4" type="noConversion"/>
  </si>
  <si>
    <t>市區門診醫療作業主機(舊資料庫)</t>
    <phoneticPr fontId="4" type="noConversion"/>
  </si>
  <si>
    <t>H028</t>
  </si>
  <si>
    <t>QNAP TS-2483XU-RP(NAS)21.6T</t>
    <phoneticPr fontId="4" type="noConversion"/>
  </si>
  <si>
    <t>機房</t>
  </si>
  <si>
    <t>H</t>
    <phoneticPr fontId="4" type="noConversion"/>
  </si>
  <si>
    <t>H029</t>
  </si>
  <si>
    <t>H030</t>
  </si>
  <si>
    <t>Fujitsu RX2540 M6</t>
    <phoneticPr fontId="4" type="noConversion"/>
  </si>
  <si>
    <t>NetBackup 主機</t>
    <phoneticPr fontId="4" type="noConversion"/>
  </si>
  <si>
    <t>H031</t>
  </si>
  <si>
    <t>ASUS E500 G5*2</t>
    <phoneticPr fontId="4" type="noConversion"/>
  </si>
  <si>
    <t>MIS人員個人電腦</t>
    <phoneticPr fontId="4" type="noConversion"/>
  </si>
  <si>
    <t>E</t>
  </si>
  <si>
    <t>環境設備</t>
  </si>
  <si>
    <t>E001</t>
  </si>
  <si>
    <t>分離式冷氣*3</t>
  </si>
  <si>
    <t>機房空調</t>
  </si>
  <si>
    <t>E002</t>
  </si>
  <si>
    <t>氣體式滅火器*4</t>
  </si>
  <si>
    <t>手持式二氧化碳滅火器</t>
  </si>
  <si>
    <t>E003</t>
  </si>
  <si>
    <t>UPS不斷電系統</t>
  </si>
  <si>
    <t>飛瑞不斷電系統(C10000R)*6</t>
    <phoneticPr fontId="4" type="noConversion"/>
  </si>
  <si>
    <t>E004</t>
  </si>
  <si>
    <t>發電機</t>
  </si>
  <si>
    <t>斷電時自動啟動</t>
  </si>
  <si>
    <t>胡文忠</t>
  </si>
  <si>
    <t>門診大樓
地下室</t>
    <phoneticPr fontId="4" type="noConversion"/>
  </si>
  <si>
    <t>E005</t>
  </si>
  <si>
    <t>環境監控系統設備</t>
  </si>
  <si>
    <t>市電斷電、溫濕度異常、門禁系統、UPS異常偵測主機及感應器、自動偵煙系統</t>
  </si>
  <si>
    <t>E006</t>
  </si>
  <si>
    <t>磁卡門禁系統</t>
  </si>
  <si>
    <t>機房門禁系統含電腦主機螢幕及卡片</t>
  </si>
  <si>
    <t>E007</t>
  </si>
  <si>
    <t>監視錄影系統</t>
  </si>
  <si>
    <t>機房內監視錄影*4</t>
  </si>
  <si>
    <t>E008</t>
  </si>
  <si>
    <t>辦公廳舍監視錄影*2</t>
  </si>
  <si>
    <t>E009</t>
  </si>
  <si>
    <t>硬體管理主控台</t>
  </si>
  <si>
    <t>管理電子病歷資料庫、應用服務主機</t>
  </si>
  <si>
    <t>M</t>
  </si>
  <si>
    <t>人員</t>
  </si>
  <si>
    <t>M001</t>
  </si>
  <si>
    <t>機房管理人員1</t>
    <phoneticPr fontId="4" type="noConversion"/>
  </si>
  <si>
    <t>張詩聖</t>
    <phoneticPr fontId="4" type="noConversion"/>
  </si>
  <si>
    <t>M002</t>
  </si>
  <si>
    <t>機房管理人員2</t>
    <phoneticPr fontId="4" type="noConversion"/>
  </si>
  <si>
    <t>G</t>
  </si>
  <si>
    <t>組織與聲譽</t>
  </si>
  <si>
    <t>G001</t>
  </si>
  <si>
    <t>對組織的聲譽與形象</t>
  </si>
  <si>
    <t>╳</t>
  </si>
  <si>
    <t>副院長</t>
  </si>
  <si>
    <t>1資訊資產價值等級表</t>
    <phoneticPr fontId="4" type="noConversion"/>
  </si>
  <si>
    <t>2軟體作業與應用程式資產價值等級表</t>
    <phoneticPr fontId="4" type="noConversion"/>
  </si>
  <si>
    <t>3服務資產價值等級表</t>
    <phoneticPr fontId="4" type="noConversion"/>
  </si>
  <si>
    <r>
      <rPr>
        <sz val="12"/>
        <rFont val="標楷體"/>
        <family val="4"/>
        <charset val="136"/>
      </rPr>
      <t>價值</t>
    </r>
  </si>
  <si>
    <r>
      <rPr>
        <sz val="12"/>
        <rFont val="標楷體"/>
        <family val="4"/>
        <charset val="136"/>
      </rPr>
      <t>機密性</t>
    </r>
    <r>
      <rPr>
        <sz val="12"/>
        <rFont val="Arial"/>
        <family val="2"/>
      </rPr>
      <t>(C)</t>
    </r>
  </si>
  <si>
    <r>
      <rPr>
        <sz val="12"/>
        <rFont val="標楷體"/>
        <family val="4"/>
        <charset val="136"/>
      </rPr>
      <t>完整性</t>
    </r>
    <r>
      <rPr>
        <sz val="12"/>
        <rFont val="Arial"/>
        <family val="2"/>
      </rPr>
      <t>(I)</t>
    </r>
  </si>
  <si>
    <r>
      <rPr>
        <sz val="12"/>
        <rFont val="標楷體"/>
        <family val="4"/>
        <charset val="136"/>
      </rPr>
      <t>可用性</t>
    </r>
    <r>
      <rPr>
        <sz val="12"/>
        <rFont val="Arial"/>
        <family val="2"/>
      </rPr>
      <t>(A)</t>
    </r>
  </si>
  <si>
    <r>
      <rPr>
        <sz val="12"/>
        <rFont val="標楷體"/>
        <family val="4"/>
        <charset val="136"/>
      </rPr>
      <t>不具保密價值之資訊，即使洩漏後也不會使組織安全遭受損害者</t>
    </r>
    <r>
      <rPr>
        <sz val="12"/>
        <rFont val="Arial"/>
        <family val="2"/>
      </rPr>
      <t>(</t>
    </r>
    <r>
      <rPr>
        <sz val="12"/>
        <color rgb="FF000000"/>
        <rFont val="標楷體"/>
        <family val="4"/>
        <charset val="136"/>
      </rPr>
      <t>例如：公開網頁資訊</t>
    </r>
    <r>
      <rPr>
        <sz val="12"/>
        <rFont val="Arial"/>
        <family val="2"/>
      </rPr>
      <t>)</t>
    </r>
    <r>
      <rPr>
        <sz val="12"/>
        <rFont val="標楷體"/>
        <family val="4"/>
        <charset val="136"/>
      </rPr>
      <t>。</t>
    </r>
  </si>
  <si>
    <r>
      <rPr>
        <sz val="12"/>
        <rFont val="標楷體"/>
        <family val="4"/>
        <charset val="136"/>
      </rPr>
      <t>資訊遭受未經授權的破壞或修改，對組織無影響，無須改正</t>
    </r>
    <r>
      <rPr>
        <sz val="12"/>
        <rFont val="Arial"/>
        <family val="2"/>
      </rPr>
      <t>(</t>
    </r>
    <r>
      <rPr>
        <sz val="12"/>
        <rFont val="標楷體"/>
        <family val="4"/>
        <charset val="136"/>
      </rPr>
      <t>例如：測試報告</t>
    </r>
    <r>
      <rPr>
        <sz val="12"/>
        <rFont val="Arial"/>
        <family val="2"/>
      </rPr>
      <t>)</t>
    </r>
    <r>
      <rPr>
        <sz val="12"/>
        <rFont val="標楷體"/>
        <family val="4"/>
        <charset val="136"/>
      </rPr>
      <t>。</t>
    </r>
  </si>
  <si>
    <r>
      <rPr>
        <sz val="12"/>
        <rFont val="標楷體"/>
        <family val="4"/>
        <charset val="136"/>
      </rPr>
      <t>組織可以接受長時間</t>
    </r>
    <r>
      <rPr>
        <sz val="12"/>
        <rFont val="Arial"/>
        <family val="2"/>
      </rPr>
      <t>(3</t>
    </r>
    <r>
      <rPr>
        <sz val="12"/>
        <rFont val="標楷體"/>
        <family val="4"/>
        <charset val="136"/>
      </rPr>
      <t>天以上</t>
    </r>
    <r>
      <rPr>
        <sz val="12"/>
        <rFont val="Arial"/>
        <family val="2"/>
      </rPr>
      <t>)</t>
    </r>
    <r>
      <rPr>
        <sz val="12"/>
        <rFont val="標楷體"/>
        <family val="4"/>
        <charset val="136"/>
      </rPr>
      <t>，資產無法使用之情形。</t>
    </r>
  </si>
  <si>
    <r>
      <rPr>
        <sz val="12"/>
        <rFont val="標楷體"/>
        <family val="4"/>
        <charset val="136"/>
      </rPr>
      <t>軟體或相關設定不具保密價值，即使洩漏後也不會使組織安全遭受損害者。</t>
    </r>
  </si>
  <si>
    <r>
      <rPr>
        <sz val="12"/>
        <rFont val="標楷體"/>
        <family val="4"/>
        <charset val="136"/>
      </rPr>
      <t>軟體或設定遭受未經授權的破壞或變更，對業務衝擊可忽略，可無須改正者。</t>
    </r>
  </si>
  <si>
    <r>
      <rPr>
        <sz val="12"/>
        <rFont val="標楷體"/>
        <family val="4"/>
        <charset val="136"/>
      </rPr>
      <t>組織可以接受長時間</t>
    </r>
    <r>
      <rPr>
        <sz val="12"/>
        <rFont val="Arial"/>
        <family val="2"/>
      </rPr>
      <t>(3</t>
    </r>
    <r>
      <rPr>
        <sz val="12"/>
        <rFont val="標楷體"/>
        <family val="4"/>
        <charset val="136"/>
      </rPr>
      <t>天以上</t>
    </r>
    <r>
      <rPr>
        <sz val="12"/>
        <rFont val="Arial"/>
        <family val="2"/>
      </rPr>
      <t>)</t>
    </r>
    <r>
      <rPr>
        <sz val="12"/>
        <rFont val="標楷體"/>
        <family val="4"/>
        <charset val="136"/>
      </rPr>
      <t>，軟體程式無法使用之情形。</t>
    </r>
  </si>
  <si>
    <r>
      <rPr>
        <sz val="12"/>
        <rFont val="標楷體"/>
        <family val="4"/>
        <charset val="136"/>
      </rPr>
      <t>資產無此特性。</t>
    </r>
  </si>
  <si>
    <r>
      <rPr>
        <sz val="12"/>
        <rFont val="標楷體"/>
        <family val="4"/>
        <charset val="136"/>
      </rPr>
      <t>服務完整性特性不明顯</t>
    </r>
    <r>
      <rPr>
        <sz val="12"/>
        <rFont val="Arial"/>
        <family val="2"/>
      </rPr>
      <t>(</t>
    </r>
    <r>
      <rPr>
        <sz val="12"/>
        <rFont val="標楷體"/>
        <family val="4"/>
        <charset val="136"/>
      </rPr>
      <t>例如：網路服務</t>
    </r>
    <r>
      <rPr>
        <sz val="12"/>
        <rFont val="Arial"/>
        <family val="2"/>
      </rPr>
      <t>)</t>
    </r>
    <r>
      <rPr>
        <sz val="12"/>
        <rFont val="標楷體"/>
        <family val="4"/>
        <charset val="136"/>
      </rPr>
      <t>。</t>
    </r>
  </si>
  <si>
    <r>
      <rPr>
        <sz val="12"/>
        <rFont val="標楷體"/>
        <family val="4"/>
        <charset val="136"/>
      </rPr>
      <t>組織可以接受長時間</t>
    </r>
    <r>
      <rPr>
        <sz val="12"/>
        <rFont val="Arial"/>
        <family val="2"/>
      </rPr>
      <t>(3</t>
    </r>
    <r>
      <rPr>
        <sz val="12"/>
        <rFont val="標楷體"/>
        <family val="4"/>
        <charset val="136"/>
      </rPr>
      <t>天以上</t>
    </r>
    <r>
      <rPr>
        <sz val="12"/>
        <rFont val="Arial"/>
        <family val="2"/>
      </rPr>
      <t>)</t>
    </r>
    <r>
      <rPr>
        <sz val="12"/>
        <rFont val="標楷體"/>
        <family val="4"/>
        <charset val="136"/>
      </rPr>
      <t>，服務無法使用之情形。</t>
    </r>
  </si>
  <si>
    <r>
      <rPr>
        <sz val="12"/>
        <color rgb="FF000000"/>
        <rFont val="標楷體"/>
        <family val="4"/>
        <charset val="136"/>
      </rPr>
      <t>僅限組織內部應用之資訊，但揭露後應不致產生嚴重損害者</t>
    </r>
    <r>
      <rPr>
        <sz val="12"/>
        <color rgb="FF000000"/>
        <rFont val="Arial"/>
        <family val="2"/>
      </rPr>
      <t>(</t>
    </r>
    <r>
      <rPr>
        <sz val="12"/>
        <color rgb="FF000000"/>
        <rFont val="標楷體"/>
        <family val="4"/>
        <charset val="136"/>
      </rPr>
      <t>例如：風險評鑑報告、稽核報告</t>
    </r>
    <r>
      <rPr>
        <sz val="12"/>
        <color rgb="FF000000"/>
        <rFont val="Arial"/>
        <family val="2"/>
      </rPr>
      <t>)</t>
    </r>
    <r>
      <rPr>
        <sz val="12"/>
        <color rgb="FF000000"/>
        <rFont val="標楷體"/>
        <family val="4"/>
        <charset val="136"/>
      </rPr>
      <t>。</t>
    </r>
  </si>
  <si>
    <r>
      <rPr>
        <sz val="12"/>
        <rFont val="標楷體"/>
        <family val="4"/>
        <charset val="136"/>
      </rPr>
      <t>資訊遭受未經授權的破壞或修改，不會產生立即性的衝擊影響，無須立即改善者</t>
    </r>
    <r>
      <rPr>
        <sz val="12"/>
        <rFont val="Arial"/>
        <family val="2"/>
      </rPr>
      <t>(</t>
    </r>
    <r>
      <rPr>
        <sz val="12"/>
        <rFont val="標楷體"/>
        <family val="4"/>
        <charset val="136"/>
      </rPr>
      <t>例如：操作手冊、參考文件</t>
    </r>
    <r>
      <rPr>
        <sz val="12"/>
        <rFont val="Arial"/>
        <family val="2"/>
      </rPr>
      <t>)</t>
    </r>
    <r>
      <rPr>
        <sz val="12"/>
        <rFont val="標楷體"/>
        <family val="4"/>
        <charset val="136"/>
      </rPr>
      <t>。</t>
    </r>
  </si>
  <si>
    <r>
      <rPr>
        <sz val="12"/>
        <rFont val="標楷體"/>
        <family val="4"/>
        <charset val="136"/>
      </rPr>
      <t>組織可以接受中長時間</t>
    </r>
    <r>
      <rPr>
        <sz val="12"/>
        <rFont val="Arial"/>
        <family val="2"/>
      </rPr>
      <t>(3</t>
    </r>
    <r>
      <rPr>
        <sz val="12"/>
        <rFont val="標楷體"/>
        <family val="4"/>
        <charset val="136"/>
      </rPr>
      <t>天以內</t>
    </r>
    <r>
      <rPr>
        <sz val="12"/>
        <rFont val="Arial"/>
        <family val="2"/>
      </rPr>
      <t>)</t>
    </r>
    <r>
      <rPr>
        <sz val="12"/>
        <rFont val="標楷體"/>
        <family val="4"/>
        <charset val="136"/>
      </rPr>
      <t>，資產無法使用之情形。</t>
    </r>
  </si>
  <si>
    <r>
      <rPr>
        <sz val="12"/>
        <color rgb="FF000000"/>
        <rFont val="標楷體"/>
        <family val="4"/>
        <charset val="136"/>
      </rPr>
      <t>軟體或相關設定為僅限組織內部應用之資訊，但揭露後應不致產生嚴重損害者。</t>
    </r>
  </si>
  <si>
    <r>
      <rPr>
        <sz val="12"/>
        <rFont val="標楷體"/>
        <family val="4"/>
        <charset val="136"/>
      </rPr>
      <t>軟體或設定遭受未經授權的破壞或變更，不會產生立即性的衝擊影響，無須立即改善者</t>
    </r>
    <r>
      <rPr>
        <sz val="12"/>
        <rFont val="Arial"/>
        <family val="2"/>
      </rPr>
      <t>(</t>
    </r>
    <r>
      <rPr>
        <sz val="12"/>
        <rFont val="標楷體"/>
        <family val="4"/>
        <charset val="136"/>
      </rPr>
      <t>例如：內部服務系統</t>
    </r>
    <r>
      <rPr>
        <sz val="12"/>
        <rFont val="Arial"/>
        <family val="2"/>
      </rPr>
      <t>)</t>
    </r>
    <r>
      <rPr>
        <sz val="12"/>
        <rFont val="標楷體"/>
        <family val="4"/>
        <charset val="136"/>
      </rPr>
      <t>。</t>
    </r>
  </si>
  <si>
    <r>
      <rPr>
        <sz val="12"/>
        <rFont val="標楷體"/>
        <family val="4"/>
        <charset val="136"/>
      </rPr>
      <t>組織可以接受中長時間</t>
    </r>
    <r>
      <rPr>
        <sz val="12"/>
        <rFont val="Arial"/>
        <family val="2"/>
      </rPr>
      <t>(3</t>
    </r>
    <r>
      <rPr>
        <sz val="12"/>
        <rFont val="標楷體"/>
        <family val="4"/>
        <charset val="136"/>
      </rPr>
      <t>天以內</t>
    </r>
    <r>
      <rPr>
        <sz val="12"/>
        <rFont val="Arial"/>
        <family val="2"/>
      </rPr>
      <t>)</t>
    </r>
    <r>
      <rPr>
        <sz val="12"/>
        <rFont val="標楷體"/>
        <family val="4"/>
        <charset val="136"/>
      </rPr>
      <t>，軟體程式無法使用之情形。</t>
    </r>
  </si>
  <si>
    <r>
      <rPr>
        <sz val="12"/>
        <color rgb="FF000000"/>
        <rFont val="標楷體"/>
        <family val="4"/>
        <charset val="136"/>
      </rPr>
      <t>服務資產涵括限組織內部應用之資訊，但揭露後應不致產生嚴重損害者。</t>
    </r>
  </si>
  <si>
    <r>
      <rPr>
        <sz val="12"/>
        <rFont val="標楷體"/>
        <family val="4"/>
        <charset val="136"/>
      </rPr>
      <t>服務內容部分遭受損害或錯誤，其產生之影響對業務衝擊輕微，可迅速處理改正</t>
    </r>
    <r>
      <rPr>
        <sz val="12"/>
        <rFont val="Arial"/>
        <family val="2"/>
      </rPr>
      <t>(</t>
    </r>
    <r>
      <rPr>
        <sz val="12"/>
        <rFont val="標楷體"/>
        <family val="4"/>
        <charset val="136"/>
      </rPr>
      <t>例如：</t>
    </r>
    <r>
      <rPr>
        <sz val="12"/>
        <rFont val="Arial"/>
        <family val="2"/>
      </rPr>
      <t>AP</t>
    </r>
    <r>
      <rPr>
        <sz val="12"/>
        <rFont val="標楷體"/>
        <family val="4"/>
        <charset val="136"/>
      </rPr>
      <t>維護時參數調整錯誤</t>
    </r>
    <r>
      <rPr>
        <sz val="12"/>
        <rFont val="Arial"/>
        <family val="2"/>
      </rPr>
      <t>)</t>
    </r>
    <r>
      <rPr>
        <sz val="12"/>
        <rFont val="標楷體"/>
        <family val="4"/>
        <charset val="136"/>
      </rPr>
      <t>。</t>
    </r>
  </si>
  <si>
    <r>
      <rPr>
        <sz val="12"/>
        <rFont val="標楷體"/>
        <family val="4"/>
        <charset val="136"/>
      </rPr>
      <t>組織可以接受中長時間</t>
    </r>
    <r>
      <rPr>
        <sz val="12"/>
        <rFont val="Arial"/>
        <family val="2"/>
      </rPr>
      <t>(3</t>
    </r>
    <r>
      <rPr>
        <sz val="12"/>
        <rFont val="標楷體"/>
        <family val="4"/>
        <charset val="136"/>
      </rPr>
      <t>天以內</t>
    </r>
    <r>
      <rPr>
        <sz val="12"/>
        <rFont val="Arial"/>
        <family val="2"/>
      </rPr>
      <t>)</t>
    </r>
    <r>
      <rPr>
        <sz val="12"/>
        <rFont val="標楷體"/>
        <family val="4"/>
        <charset val="136"/>
      </rPr>
      <t>，服務無法使用之情形。</t>
    </r>
  </si>
  <si>
    <r>
      <rPr>
        <sz val="12"/>
        <color rgb="FF000000"/>
        <rFont val="標楷體"/>
        <family val="4"/>
        <charset val="136"/>
      </rPr>
      <t>具有保密價值之資訊，洩漏後可能使組織安全或形象遭受明顯損害者。</t>
    </r>
    <r>
      <rPr>
        <sz val="12"/>
        <color rgb="FF000000"/>
        <rFont val="Arial"/>
        <family val="2"/>
      </rPr>
      <t>(</t>
    </r>
    <r>
      <rPr>
        <sz val="12"/>
        <color rgb="FF000000"/>
        <rFont val="標楷體"/>
        <family val="4"/>
        <charset val="136"/>
      </rPr>
      <t>例如：通行碼、網路架構與</t>
    </r>
    <r>
      <rPr>
        <sz val="12"/>
        <color rgb="FF000000"/>
        <rFont val="Arial"/>
        <family val="2"/>
      </rPr>
      <t>IP</t>
    </r>
    <r>
      <rPr>
        <sz val="12"/>
        <color rgb="FF000000"/>
        <rFont val="標楷體"/>
        <family val="4"/>
        <charset val="136"/>
      </rPr>
      <t>配置圖</t>
    </r>
    <r>
      <rPr>
        <sz val="12"/>
        <color rgb="FF000000"/>
        <rFont val="Arial"/>
        <family val="2"/>
      </rPr>
      <t>)</t>
    </r>
  </si>
  <si>
    <r>
      <rPr>
        <sz val="12"/>
        <rFont val="標楷體"/>
        <family val="4"/>
        <charset val="136"/>
      </rPr>
      <t>資訊遭受未經授權的破壞或修改，對組織造成輕微的衝擊，須進行修正者</t>
    </r>
    <r>
      <rPr>
        <sz val="12"/>
        <rFont val="Arial"/>
        <family val="2"/>
      </rPr>
      <t>(</t>
    </r>
    <r>
      <rPr>
        <sz val="12"/>
        <rFont val="標楷體"/>
        <family val="4"/>
        <charset val="136"/>
      </rPr>
      <t>例如：</t>
    </r>
    <r>
      <rPr>
        <sz val="12"/>
        <rFont val="Arial"/>
        <family val="2"/>
      </rPr>
      <t>ISMS</t>
    </r>
    <r>
      <rPr>
        <sz val="12"/>
        <rFont val="標楷體"/>
        <family val="4"/>
        <charset val="136"/>
      </rPr>
      <t>程序書、組織內部規定</t>
    </r>
    <r>
      <rPr>
        <sz val="12"/>
        <rFont val="Arial"/>
        <family val="2"/>
      </rPr>
      <t>)</t>
    </r>
    <r>
      <rPr>
        <sz val="12"/>
        <rFont val="標楷體"/>
        <family val="4"/>
        <charset val="136"/>
      </rPr>
      <t>。</t>
    </r>
  </si>
  <si>
    <r>
      <rPr>
        <sz val="12"/>
        <rFont val="標楷體"/>
        <family val="4"/>
        <charset val="136"/>
      </rPr>
      <t>組織可以接受</t>
    </r>
    <r>
      <rPr>
        <sz val="12"/>
        <rFont val="Arial"/>
        <family val="2"/>
      </rPr>
      <t>1</t>
    </r>
    <r>
      <rPr>
        <sz val="12"/>
        <rFont val="標楷體"/>
        <family val="4"/>
        <charset val="136"/>
      </rPr>
      <t>個工作天內，資產無法使用之情形。</t>
    </r>
  </si>
  <si>
    <r>
      <rPr>
        <sz val="12"/>
        <color rgb="FF000000"/>
        <rFont val="標楷體"/>
        <family val="4"/>
        <charset val="136"/>
      </rPr>
      <t>軟體或相關設定為具有保密價值之資訊，洩漏後可能使組織安全或形象遭受明顯損害者。</t>
    </r>
  </si>
  <si>
    <r>
      <rPr>
        <sz val="12"/>
        <rFont val="標楷體"/>
        <family val="4"/>
        <charset val="136"/>
      </rPr>
      <t>軟體或設定遭受未經授權的破壞或變更，對業務產生的衝擊可受控制，但必須進行修正者</t>
    </r>
    <r>
      <rPr>
        <sz val="12"/>
        <rFont val="Arial"/>
        <family val="2"/>
      </rPr>
      <t>(</t>
    </r>
    <r>
      <rPr>
        <sz val="12"/>
        <rFont val="標楷體"/>
        <family val="4"/>
        <charset val="136"/>
      </rPr>
      <t>例如：對特定人士開放服務系統</t>
    </r>
    <r>
      <rPr>
        <sz val="12"/>
        <rFont val="Arial"/>
        <family val="2"/>
      </rPr>
      <t>)</t>
    </r>
    <r>
      <rPr>
        <sz val="12"/>
        <rFont val="標楷體"/>
        <family val="4"/>
        <charset val="136"/>
      </rPr>
      <t>。</t>
    </r>
  </si>
  <si>
    <r>
      <rPr>
        <sz val="12"/>
        <rFont val="標楷體"/>
        <family val="4"/>
        <charset val="136"/>
      </rPr>
      <t>組織可以接受</t>
    </r>
    <r>
      <rPr>
        <sz val="12"/>
        <rFont val="Arial"/>
        <family val="2"/>
      </rPr>
      <t>1</t>
    </r>
    <r>
      <rPr>
        <sz val="12"/>
        <rFont val="標楷體"/>
        <family val="4"/>
        <charset val="136"/>
      </rPr>
      <t>個工作天內，軟體程式無法使用之情形。</t>
    </r>
  </si>
  <si>
    <r>
      <rPr>
        <sz val="12"/>
        <color rgb="FF000000"/>
        <rFont val="標楷體"/>
        <family val="4"/>
        <charset val="136"/>
      </rPr>
      <t>服務工作內容屬機密，洩漏後可能使組織安全或形象遭受明顯損害者。</t>
    </r>
  </si>
  <si>
    <r>
      <rPr>
        <sz val="12"/>
        <rFont val="標楷體"/>
        <family val="4"/>
        <charset val="136"/>
      </rPr>
      <t>服務內容不正確，將對業務產生一定衝擊</t>
    </r>
    <r>
      <rPr>
        <sz val="12"/>
        <rFont val="Arial"/>
        <family val="2"/>
      </rPr>
      <t>(</t>
    </r>
    <r>
      <rPr>
        <sz val="12"/>
        <rFont val="標楷體"/>
        <family val="4"/>
        <charset val="136"/>
      </rPr>
      <t>例如：</t>
    </r>
    <r>
      <rPr>
        <sz val="12"/>
        <rFont val="Arial"/>
        <family val="2"/>
      </rPr>
      <t>AP</t>
    </r>
    <r>
      <rPr>
        <sz val="12"/>
        <rFont val="標楷體"/>
        <family val="4"/>
        <charset val="136"/>
      </rPr>
      <t>維護時更新程式有</t>
    </r>
    <r>
      <rPr>
        <sz val="12"/>
        <rFont val="Arial"/>
        <family val="2"/>
      </rPr>
      <t>bug</t>
    </r>
    <r>
      <rPr>
        <sz val="12"/>
        <rFont val="標楷體"/>
        <family val="4"/>
        <charset val="136"/>
      </rPr>
      <t>或後門</t>
    </r>
    <r>
      <rPr>
        <sz val="12"/>
        <rFont val="Arial"/>
        <family val="2"/>
      </rPr>
      <t>)</t>
    </r>
    <r>
      <rPr>
        <sz val="12"/>
        <rFont val="標楷體"/>
        <family val="4"/>
        <charset val="136"/>
      </rPr>
      <t>。</t>
    </r>
  </si>
  <si>
    <r>
      <rPr>
        <sz val="12"/>
        <rFont val="標楷體"/>
        <family val="4"/>
        <charset val="136"/>
      </rPr>
      <t>組織可以接受</t>
    </r>
    <r>
      <rPr>
        <sz val="12"/>
        <rFont val="Arial"/>
        <family val="2"/>
      </rPr>
      <t>1</t>
    </r>
    <r>
      <rPr>
        <sz val="12"/>
        <rFont val="標楷體"/>
        <family val="4"/>
        <charset val="136"/>
      </rPr>
      <t>個工作天內，服務無法使用之情形。</t>
    </r>
  </si>
  <si>
    <r>
      <rPr>
        <sz val="12"/>
        <color rgb="FF000000"/>
        <rFont val="標楷體"/>
        <family val="4"/>
        <charset val="136"/>
      </rPr>
      <t>在法律上具有保密責任之資訊，洩漏後將會有法律議題者</t>
    </r>
    <r>
      <rPr>
        <sz val="12"/>
        <color rgb="FF000000"/>
        <rFont val="Arial"/>
        <family val="2"/>
      </rPr>
      <t>(</t>
    </r>
    <r>
      <rPr>
        <sz val="12"/>
        <color rgb="FF000000"/>
        <rFont val="標楷體"/>
        <family val="4"/>
        <charset val="136"/>
      </rPr>
      <t>例如：個人隱私資訊、機密公文</t>
    </r>
    <r>
      <rPr>
        <sz val="12"/>
        <color rgb="FF000000"/>
        <rFont val="Arial"/>
        <family val="2"/>
      </rPr>
      <t>)</t>
    </r>
    <r>
      <rPr>
        <sz val="12"/>
        <color rgb="FF000000"/>
        <rFont val="標楷體"/>
        <family val="4"/>
        <charset val="136"/>
      </rPr>
      <t>。</t>
    </r>
  </si>
  <si>
    <r>
      <rPr>
        <sz val="12"/>
        <rFont val="標楷體"/>
        <family val="4"/>
        <charset val="136"/>
      </rPr>
      <t>資訊遭受未經授權的破壞或修改，將對業務產生重大影響</t>
    </r>
    <r>
      <rPr>
        <sz val="12"/>
        <rFont val="Arial"/>
        <family val="2"/>
      </rPr>
      <t>(</t>
    </r>
    <r>
      <rPr>
        <sz val="12"/>
        <rFont val="標楷體"/>
        <family val="4"/>
        <charset val="136"/>
      </rPr>
      <t>例如：對外正式公開資訊</t>
    </r>
    <r>
      <rPr>
        <sz val="12"/>
        <rFont val="Arial"/>
        <family val="2"/>
      </rPr>
      <t>)</t>
    </r>
    <r>
      <rPr>
        <sz val="12"/>
        <rFont val="標楷體"/>
        <family val="4"/>
        <charset val="136"/>
      </rPr>
      <t>。</t>
    </r>
  </si>
  <si>
    <r>
      <rPr>
        <sz val="12"/>
        <rFont val="標楷體"/>
        <family val="4"/>
        <charset val="136"/>
      </rPr>
      <t>組織可以接受短時間</t>
    </r>
    <r>
      <rPr>
        <sz val="12"/>
        <rFont val="Arial"/>
        <family val="2"/>
      </rPr>
      <t>(4</t>
    </r>
    <r>
      <rPr>
        <sz val="12"/>
        <rFont val="標楷體"/>
        <family val="4"/>
        <charset val="136"/>
      </rPr>
      <t>個鐘頭內</t>
    </r>
    <r>
      <rPr>
        <sz val="12"/>
        <rFont val="Arial"/>
        <family val="2"/>
      </rPr>
      <t>)</t>
    </r>
    <r>
      <rPr>
        <sz val="12"/>
        <rFont val="標楷體"/>
        <family val="4"/>
        <charset val="136"/>
      </rPr>
      <t>，資產無法使用之情形。</t>
    </r>
  </si>
  <si>
    <r>
      <rPr>
        <sz val="12"/>
        <color rgb="FF000000"/>
        <rFont val="標楷體"/>
        <family val="4"/>
        <charset val="136"/>
      </rPr>
      <t>軟體或相關設定為法律規定保密之資訊，洩漏後將引起組織安全遭受重大的損失者。</t>
    </r>
  </si>
  <si>
    <r>
      <rPr>
        <sz val="12"/>
        <rFont val="標楷體"/>
        <family val="4"/>
        <charset val="136"/>
      </rPr>
      <t>軟體或設定遭受未經授權的破壞或變更，將對業務活動產生重大影響</t>
    </r>
    <r>
      <rPr>
        <sz val="12"/>
        <rFont val="Arial"/>
        <family val="2"/>
      </rPr>
      <t>(</t>
    </r>
    <r>
      <rPr>
        <sz val="12"/>
        <rFont val="標楷體"/>
        <family val="4"/>
        <charset val="136"/>
      </rPr>
      <t>例如：對公眾開放服務系統</t>
    </r>
    <r>
      <rPr>
        <sz val="12"/>
        <rFont val="Arial"/>
        <family val="2"/>
      </rPr>
      <t>)</t>
    </r>
    <r>
      <rPr>
        <sz val="12"/>
        <rFont val="標楷體"/>
        <family val="4"/>
        <charset val="136"/>
      </rPr>
      <t>。</t>
    </r>
  </si>
  <si>
    <r>
      <rPr>
        <sz val="12"/>
        <rFont val="標楷體"/>
        <family val="4"/>
        <charset val="136"/>
      </rPr>
      <t>組織可以接受短時間</t>
    </r>
    <r>
      <rPr>
        <sz val="12"/>
        <rFont val="Arial"/>
        <family val="2"/>
      </rPr>
      <t>(4</t>
    </r>
    <r>
      <rPr>
        <sz val="12"/>
        <rFont val="標楷體"/>
        <family val="4"/>
        <charset val="136"/>
      </rPr>
      <t>個鐘頭內</t>
    </r>
    <r>
      <rPr>
        <sz val="12"/>
        <rFont val="Arial"/>
        <family val="2"/>
      </rPr>
      <t>)</t>
    </r>
    <r>
      <rPr>
        <sz val="12"/>
        <rFont val="標楷體"/>
        <family val="4"/>
        <charset val="136"/>
      </rPr>
      <t>，軟體程式無法使用之情形。</t>
    </r>
  </si>
  <si>
    <r>
      <rPr>
        <sz val="12"/>
        <color rgb="FF000000"/>
        <rFont val="標楷體"/>
        <family val="4"/>
        <charset val="136"/>
      </rPr>
      <t>服務工作內容涉及法律規定的資訊，洩漏後將引起法律責任者。</t>
    </r>
  </si>
  <si>
    <r>
      <rPr>
        <sz val="12"/>
        <rFont val="標楷體"/>
        <family val="4"/>
        <charset val="136"/>
      </rPr>
      <t>服務內容不正確，將對業務產生影響，且可能導致暫時性業務中斷</t>
    </r>
    <r>
      <rPr>
        <sz val="12"/>
        <rFont val="Arial"/>
        <family val="2"/>
      </rPr>
      <t>(</t>
    </r>
    <r>
      <rPr>
        <sz val="12"/>
        <rFont val="標楷體"/>
        <family val="4"/>
        <charset val="136"/>
      </rPr>
      <t>例如：資料庫維護時誤刪</t>
    </r>
    <r>
      <rPr>
        <sz val="12"/>
        <rFont val="Arial"/>
        <family val="2"/>
      </rPr>
      <t>DB)</t>
    </r>
    <r>
      <rPr>
        <sz val="12"/>
        <rFont val="標楷體"/>
        <family val="4"/>
        <charset val="136"/>
      </rPr>
      <t>。</t>
    </r>
  </si>
  <si>
    <r>
      <rPr>
        <sz val="12"/>
        <rFont val="標楷體"/>
        <family val="4"/>
        <charset val="136"/>
      </rPr>
      <t>組織可以接受短時間</t>
    </r>
    <r>
      <rPr>
        <sz val="12"/>
        <rFont val="Arial"/>
        <family val="2"/>
      </rPr>
      <t>(4</t>
    </r>
    <r>
      <rPr>
        <sz val="12"/>
        <rFont val="標楷體"/>
        <family val="4"/>
        <charset val="136"/>
      </rPr>
      <t>個鐘頭內</t>
    </r>
    <r>
      <rPr>
        <sz val="12"/>
        <rFont val="Arial"/>
        <family val="2"/>
      </rPr>
      <t>)</t>
    </r>
    <r>
      <rPr>
        <sz val="12"/>
        <rFont val="標楷體"/>
        <family val="4"/>
        <charset val="136"/>
      </rPr>
      <t>，服務無法使用之情形。</t>
    </r>
  </si>
  <si>
    <r>
      <rPr>
        <sz val="12"/>
        <color rgb="FF000000"/>
        <rFont val="標楷體"/>
        <family val="4"/>
        <charset val="136"/>
      </rPr>
      <t>具有極高機密價值的資訊，資訊揭露予非授權者將危及國家安全者。</t>
    </r>
  </si>
  <si>
    <r>
      <rPr>
        <sz val="12"/>
        <rFont val="標楷體"/>
        <family val="4"/>
        <charset val="136"/>
      </rPr>
      <t>資訊遭受未經授權的破壞或修改，將對業務產生極嚴重的衝擊</t>
    </r>
    <r>
      <rPr>
        <sz val="12"/>
        <rFont val="Arial"/>
        <family val="2"/>
      </rPr>
      <t>(</t>
    </r>
    <r>
      <rPr>
        <sz val="12"/>
        <rFont val="標楷體"/>
        <family val="4"/>
        <charset val="136"/>
      </rPr>
      <t>例如：電子商務資訊</t>
    </r>
    <r>
      <rPr>
        <sz val="12"/>
        <rFont val="Arial"/>
        <family val="2"/>
      </rPr>
      <t>)</t>
    </r>
    <r>
      <rPr>
        <sz val="12"/>
        <rFont val="標楷體"/>
        <family val="4"/>
        <charset val="136"/>
      </rPr>
      <t>。</t>
    </r>
  </si>
  <si>
    <r>
      <rPr>
        <sz val="12"/>
        <rFont val="標楷體"/>
        <family val="4"/>
        <charset val="136"/>
      </rPr>
      <t>組織可以忍受極短時間</t>
    </r>
    <r>
      <rPr>
        <sz val="12"/>
        <rFont val="Arial"/>
        <family val="2"/>
      </rPr>
      <t>(1</t>
    </r>
    <r>
      <rPr>
        <sz val="12"/>
        <rFont val="標楷體"/>
        <family val="4"/>
        <charset val="136"/>
      </rPr>
      <t>個鐘頭內</t>
    </r>
    <r>
      <rPr>
        <sz val="12"/>
        <rFont val="Arial"/>
        <family val="2"/>
      </rPr>
      <t>)</t>
    </r>
    <r>
      <rPr>
        <sz val="12"/>
        <rFont val="標楷體"/>
        <family val="4"/>
        <charset val="136"/>
      </rPr>
      <t>，資產無法使用之情形。</t>
    </r>
  </si>
  <si>
    <r>
      <rPr>
        <sz val="12"/>
        <color rgb="FF000000"/>
        <rFont val="標楷體"/>
        <family val="4"/>
        <charset val="136"/>
      </rPr>
      <t>程式碼或相關設定為具有極高機密價值的資訊，資訊揭露予非授權者將危及國家安全者。</t>
    </r>
  </si>
  <si>
    <r>
      <rPr>
        <sz val="12"/>
        <rFont val="標楷體"/>
        <family val="4"/>
        <charset val="136"/>
      </rPr>
      <t>軟體或設定遭受未經授權的破壞或變更，將對業務產生極嚴重的衝擊</t>
    </r>
    <r>
      <rPr>
        <sz val="12"/>
        <rFont val="Arial"/>
        <family val="2"/>
      </rPr>
      <t>(</t>
    </r>
    <r>
      <rPr>
        <sz val="12"/>
        <rFont val="標楷體"/>
        <family val="4"/>
        <charset val="136"/>
      </rPr>
      <t>例如：機密性與完整性需求極高的系統</t>
    </r>
    <r>
      <rPr>
        <sz val="12"/>
        <rFont val="Arial"/>
        <family val="2"/>
      </rPr>
      <t>)</t>
    </r>
    <r>
      <rPr>
        <sz val="12"/>
        <rFont val="標楷體"/>
        <family val="4"/>
        <charset val="136"/>
      </rPr>
      <t>。</t>
    </r>
  </si>
  <si>
    <r>
      <rPr>
        <sz val="12"/>
        <rFont val="標楷體"/>
        <family val="4"/>
        <charset val="136"/>
      </rPr>
      <t>組織可以忍受極短時間</t>
    </r>
    <r>
      <rPr>
        <sz val="12"/>
        <rFont val="Arial"/>
        <family val="2"/>
      </rPr>
      <t>(1</t>
    </r>
    <r>
      <rPr>
        <sz val="12"/>
        <rFont val="標楷體"/>
        <family val="4"/>
        <charset val="136"/>
      </rPr>
      <t>個鐘頭內</t>
    </r>
    <r>
      <rPr>
        <sz val="12"/>
        <rFont val="Arial"/>
        <family val="2"/>
      </rPr>
      <t>)</t>
    </r>
    <r>
      <rPr>
        <sz val="12"/>
        <rFont val="標楷體"/>
        <family val="4"/>
        <charset val="136"/>
      </rPr>
      <t>，軟體程式無法使用之情形。</t>
    </r>
  </si>
  <si>
    <r>
      <rPr>
        <sz val="12"/>
        <color rgb="FF000000"/>
        <rFont val="標楷體"/>
        <family val="4"/>
        <charset val="136"/>
      </rPr>
      <t>服務工作內容屬機密，資訊揭露予非授權者將危及國家安全者。</t>
    </r>
  </si>
  <si>
    <r>
      <rPr>
        <sz val="12"/>
        <rFont val="標楷體"/>
        <family val="4"/>
        <charset val="136"/>
      </rPr>
      <t>服務內容不正確，將對業務產生重大影響</t>
    </r>
    <r>
      <rPr>
        <sz val="12"/>
        <rFont val="Arial"/>
        <family val="2"/>
      </rPr>
      <t>(</t>
    </r>
    <r>
      <rPr>
        <sz val="12"/>
        <rFont val="標楷體"/>
        <family val="4"/>
        <charset val="136"/>
      </rPr>
      <t>例如：環境設施維護操作錯誤，造成大災難</t>
    </r>
    <r>
      <rPr>
        <sz val="12"/>
        <rFont val="Arial"/>
        <family val="2"/>
      </rPr>
      <t>)</t>
    </r>
    <r>
      <rPr>
        <sz val="12"/>
        <rFont val="標楷體"/>
        <family val="4"/>
        <charset val="136"/>
      </rPr>
      <t>。</t>
    </r>
  </si>
  <si>
    <r>
      <rPr>
        <sz val="12"/>
        <rFont val="標楷體"/>
        <family val="4"/>
        <charset val="136"/>
      </rPr>
      <t>組織可以忍受極短時間</t>
    </r>
    <r>
      <rPr>
        <sz val="12"/>
        <rFont val="Arial"/>
        <family val="2"/>
      </rPr>
      <t>(1</t>
    </r>
    <r>
      <rPr>
        <sz val="12"/>
        <rFont val="標楷體"/>
        <family val="4"/>
        <charset val="136"/>
      </rPr>
      <t>個鐘頭內</t>
    </r>
    <r>
      <rPr>
        <sz val="12"/>
        <rFont val="Arial"/>
        <family val="2"/>
      </rPr>
      <t>)</t>
    </r>
    <r>
      <rPr>
        <sz val="12"/>
        <rFont val="標楷體"/>
        <family val="4"/>
        <charset val="136"/>
      </rPr>
      <t>，服務無法使用之情形。</t>
    </r>
  </si>
  <si>
    <t>4硬體資產價值等級表</t>
    <phoneticPr fontId="4" type="noConversion"/>
  </si>
  <si>
    <t>5人員資產價值等級表</t>
    <phoneticPr fontId="4" type="noConversion"/>
  </si>
  <si>
    <t>6組織與聲譽資產價值等級表</t>
    <phoneticPr fontId="4" type="noConversion"/>
  </si>
  <si>
    <t>價值</t>
  </si>
  <si>
    <r>
      <t>機密性</t>
    </r>
    <r>
      <rPr>
        <sz val="12"/>
        <rFont val="Arial"/>
        <family val="2"/>
      </rPr>
      <t>(C)</t>
    </r>
  </si>
  <si>
    <r>
      <t>完整性</t>
    </r>
    <r>
      <rPr>
        <sz val="12"/>
        <rFont val="Arial"/>
        <family val="2"/>
      </rPr>
      <t>(I)</t>
    </r>
  </si>
  <si>
    <r>
      <t>可用性</t>
    </r>
    <r>
      <rPr>
        <sz val="12"/>
        <rFont val="Arial"/>
        <family val="2"/>
      </rPr>
      <t>(A)</t>
    </r>
  </si>
  <si>
    <r>
      <rPr>
        <sz val="12"/>
        <rFont val="標楷體"/>
        <family val="4"/>
        <charset val="136"/>
      </rPr>
      <t>設備或設定遭受未經授權的破壞或設定被竄改，對業務衝擊可忽略，可無須改正者。</t>
    </r>
  </si>
  <si>
    <r>
      <rPr>
        <sz val="12"/>
        <rFont val="標楷體"/>
        <family val="4"/>
        <charset val="136"/>
      </rPr>
      <t>組織可以接受長時間</t>
    </r>
    <r>
      <rPr>
        <sz val="12"/>
        <rFont val="Arial"/>
        <family val="2"/>
      </rPr>
      <t>(3</t>
    </r>
    <r>
      <rPr>
        <sz val="12"/>
        <rFont val="標楷體"/>
        <family val="4"/>
        <charset val="136"/>
      </rPr>
      <t>天以上</t>
    </r>
    <r>
      <rPr>
        <sz val="12"/>
        <rFont val="Arial"/>
        <family val="2"/>
      </rPr>
      <t>)</t>
    </r>
    <r>
      <rPr>
        <sz val="12"/>
        <rFont val="標楷體"/>
        <family val="4"/>
        <charset val="136"/>
      </rPr>
      <t>，設備無法使用之情形。</t>
    </r>
  </si>
  <si>
    <r>
      <rPr>
        <sz val="12"/>
        <rFont val="標楷體"/>
        <family val="4"/>
        <charset val="136"/>
      </rPr>
      <t>人員負責之工作未涉及機密</t>
    </r>
    <r>
      <rPr>
        <sz val="12"/>
        <rFont val="Arial"/>
        <family val="2"/>
      </rPr>
      <t>/</t>
    </r>
    <r>
      <rPr>
        <sz val="12"/>
        <rFont val="標楷體"/>
        <family val="4"/>
        <charset val="136"/>
      </rPr>
      <t>敏感資訊者。</t>
    </r>
  </si>
  <si>
    <r>
      <rPr>
        <sz val="12"/>
        <rFont val="標楷體"/>
        <family val="4"/>
        <charset val="136"/>
      </rPr>
      <t>組織可以接受長時間</t>
    </r>
    <r>
      <rPr>
        <sz val="12"/>
        <rFont val="Arial"/>
        <family val="2"/>
      </rPr>
      <t>(3</t>
    </r>
    <r>
      <rPr>
        <sz val="12"/>
        <rFont val="標楷體"/>
        <family val="4"/>
        <charset val="136"/>
      </rPr>
      <t>天以上</t>
    </r>
    <r>
      <rPr>
        <sz val="12"/>
        <rFont val="Arial"/>
        <family val="2"/>
      </rPr>
      <t>)</t>
    </r>
    <r>
      <rPr>
        <sz val="12"/>
        <rFont val="標楷體"/>
        <family val="4"/>
        <charset val="136"/>
      </rPr>
      <t>，人員無法到班工作之情形。</t>
    </r>
  </si>
  <si>
    <t>組織之資產或提供的服務均為公開資訊，無機密性議題者。</t>
  </si>
  <si>
    <t>組織之資產或提供的服務內容錯誤，對組織無影響。</t>
  </si>
  <si>
    <r>
      <t>組織可以接受長時間</t>
    </r>
    <r>
      <rPr>
        <sz val="12"/>
        <rFont val="Arial"/>
        <family val="2"/>
      </rPr>
      <t>(3</t>
    </r>
    <r>
      <rPr>
        <sz val="12"/>
        <rFont val="標楷體"/>
        <family val="4"/>
        <charset val="136"/>
      </rPr>
      <t>天以上</t>
    </r>
    <r>
      <rPr>
        <sz val="12"/>
        <rFont val="Arial"/>
        <family val="2"/>
      </rPr>
      <t>)</t>
    </r>
    <r>
      <rPr>
        <sz val="12"/>
        <rFont val="標楷體"/>
        <family val="4"/>
        <charset val="136"/>
      </rPr>
      <t>，</t>
    </r>
    <r>
      <rPr>
        <sz val="12"/>
        <color rgb="FF000000"/>
        <rFont val="標楷體"/>
        <family val="4"/>
        <charset val="136"/>
      </rPr>
      <t>組織之核心資產或服務</t>
    </r>
    <r>
      <rPr>
        <sz val="12"/>
        <rFont val="標楷體"/>
        <family val="4"/>
        <charset val="136"/>
      </rPr>
      <t>無法使用之情形。</t>
    </r>
  </si>
  <si>
    <r>
      <rPr>
        <sz val="12"/>
        <color rgb="FF000000"/>
        <rFont val="標楷體"/>
        <family val="4"/>
        <charset val="136"/>
      </rPr>
      <t>設備設定或內容為僅限組織內部應用之資訊，但揭露後應不致產生嚴重損害者。</t>
    </r>
  </si>
  <si>
    <r>
      <rPr>
        <sz val="12"/>
        <rFont val="標楷體"/>
        <family val="4"/>
        <charset val="136"/>
      </rPr>
      <t>設備或設定遭受未經授權的破壞或設定被竄改，不會產生立即性的衝擊影響，無須立即改善者。</t>
    </r>
  </si>
  <si>
    <r>
      <rPr>
        <sz val="12"/>
        <rFont val="標楷體"/>
        <family val="4"/>
        <charset val="136"/>
      </rPr>
      <t>組織可以接受中長時間</t>
    </r>
    <r>
      <rPr>
        <sz val="12"/>
        <rFont val="Arial"/>
        <family val="2"/>
      </rPr>
      <t>(3</t>
    </r>
    <r>
      <rPr>
        <sz val="12"/>
        <rFont val="標楷體"/>
        <family val="4"/>
        <charset val="136"/>
      </rPr>
      <t>天以內</t>
    </r>
    <r>
      <rPr>
        <sz val="12"/>
        <rFont val="Arial"/>
        <family val="2"/>
      </rPr>
      <t>)</t>
    </r>
    <r>
      <rPr>
        <sz val="12"/>
        <rFont val="標楷體"/>
        <family val="4"/>
        <charset val="136"/>
      </rPr>
      <t>，設備無法使用之情形。</t>
    </r>
  </si>
  <si>
    <r>
      <rPr>
        <sz val="12"/>
        <rFont val="標楷體"/>
        <family val="4"/>
        <charset val="136"/>
      </rPr>
      <t>人員作業過程中會使用機密</t>
    </r>
    <r>
      <rPr>
        <sz val="12"/>
        <rFont val="Arial"/>
        <family val="2"/>
      </rPr>
      <t>/</t>
    </r>
    <r>
      <rPr>
        <sz val="12"/>
        <rFont val="標楷體"/>
        <family val="4"/>
        <charset val="136"/>
      </rPr>
      <t>敏感資訊，洩漏後可能使組織安全或形象遭受明顯損害者。</t>
    </r>
  </si>
  <si>
    <r>
      <rPr>
        <sz val="12"/>
        <rFont val="標楷體"/>
        <family val="4"/>
        <charset val="136"/>
      </rPr>
      <t>人員技能不成熟或職務代理</t>
    </r>
    <r>
      <rPr>
        <sz val="12"/>
        <rFont val="Arial"/>
        <family val="2"/>
      </rPr>
      <t>/</t>
    </r>
    <r>
      <rPr>
        <sz val="12"/>
        <rFont val="標楷體"/>
        <family val="4"/>
        <charset val="136"/>
      </rPr>
      <t>交接不清楚，其產生之影響對業務衝擊輕微，可迅速處理改正。</t>
    </r>
  </si>
  <si>
    <r>
      <rPr>
        <sz val="12"/>
        <rFont val="標楷體"/>
        <family val="4"/>
        <charset val="136"/>
      </rPr>
      <t>組織可以接受中長時間</t>
    </r>
    <r>
      <rPr>
        <sz val="12"/>
        <rFont val="Arial"/>
        <family val="2"/>
      </rPr>
      <t>(3</t>
    </r>
    <r>
      <rPr>
        <sz val="12"/>
        <rFont val="標楷體"/>
        <family val="4"/>
        <charset val="136"/>
      </rPr>
      <t>天以內</t>
    </r>
    <r>
      <rPr>
        <sz val="12"/>
        <rFont val="Arial"/>
        <family val="2"/>
      </rPr>
      <t>)</t>
    </r>
    <r>
      <rPr>
        <sz val="12"/>
        <rFont val="標楷體"/>
        <family val="4"/>
        <charset val="136"/>
      </rPr>
      <t>，人員無法到班工作之情形。</t>
    </r>
  </si>
  <si>
    <t>組織之資產或提供的服務為限制內部使用，外洩將會對組織造成傷害者。</t>
  </si>
  <si>
    <r>
      <t>組織之資產或提供的服務內容錯誤</t>
    </r>
    <r>
      <rPr>
        <sz val="12"/>
        <rFont val="標楷體"/>
        <family val="4"/>
        <charset val="136"/>
      </rPr>
      <t>，其產生之影響對組織營運衝擊輕微，可無須立即改善。</t>
    </r>
  </si>
  <si>
    <r>
      <t>組織可以接受中長時間</t>
    </r>
    <r>
      <rPr>
        <sz val="12"/>
        <rFont val="Arial"/>
        <family val="2"/>
      </rPr>
      <t>(3</t>
    </r>
    <r>
      <rPr>
        <sz val="12"/>
        <rFont val="標楷體"/>
        <family val="4"/>
        <charset val="136"/>
      </rPr>
      <t>天以內</t>
    </r>
    <r>
      <rPr>
        <sz val="12"/>
        <rFont val="Arial"/>
        <family val="2"/>
      </rPr>
      <t>)</t>
    </r>
    <r>
      <rPr>
        <sz val="12"/>
        <rFont val="標楷體"/>
        <family val="4"/>
        <charset val="136"/>
      </rPr>
      <t>，</t>
    </r>
    <r>
      <rPr>
        <sz val="12"/>
        <color rgb="FF000000"/>
        <rFont val="標楷體"/>
        <family val="4"/>
        <charset val="136"/>
      </rPr>
      <t>組織之核心資產或服務</t>
    </r>
    <r>
      <rPr>
        <sz val="12"/>
        <rFont val="標楷體"/>
        <family val="4"/>
        <charset val="136"/>
      </rPr>
      <t>無法使用之情形。</t>
    </r>
  </si>
  <si>
    <r>
      <rPr>
        <sz val="12"/>
        <color rgb="FF000000"/>
        <rFont val="標楷體"/>
        <family val="4"/>
        <charset val="136"/>
      </rPr>
      <t>設備設定或內容為具有保密價值之資訊，洩漏後可能使組織安全或形象遭受明顯損害者。</t>
    </r>
  </si>
  <si>
    <r>
      <rPr>
        <sz val="12"/>
        <rFont val="標楷體"/>
        <family val="4"/>
        <charset val="136"/>
      </rPr>
      <t>設備或設定遭受未經授權的破壞或設定被竄改，對業務的衝擊可受控制，須進行修正者。</t>
    </r>
  </si>
  <si>
    <r>
      <rPr>
        <sz val="12"/>
        <rFont val="標楷體"/>
        <family val="4"/>
        <charset val="136"/>
      </rPr>
      <t>組織可以接受</t>
    </r>
    <r>
      <rPr>
        <sz val="12"/>
        <rFont val="Arial"/>
        <family val="2"/>
      </rPr>
      <t>1</t>
    </r>
    <r>
      <rPr>
        <sz val="12"/>
        <rFont val="標楷體"/>
        <family val="4"/>
        <charset val="136"/>
      </rPr>
      <t>個工作天內，設備無法使用之情形。</t>
    </r>
  </si>
  <si>
    <r>
      <rPr>
        <sz val="12"/>
        <rFont val="標楷體"/>
        <family val="4"/>
        <charset val="136"/>
      </rPr>
      <t>人員作業過程中會使用機密</t>
    </r>
    <r>
      <rPr>
        <sz val="12"/>
        <rFont val="Arial"/>
        <family val="2"/>
      </rPr>
      <t>/</t>
    </r>
    <r>
      <rPr>
        <sz val="12"/>
        <rFont val="標楷體"/>
        <family val="4"/>
        <charset val="136"/>
      </rPr>
      <t>敏感資訊，洩漏後可能使組織安全或形象遭受明顯損害，且有權限下載大批資料者。</t>
    </r>
  </si>
  <si>
    <r>
      <rPr>
        <sz val="12"/>
        <rFont val="標楷體"/>
        <family val="4"/>
        <charset val="136"/>
      </rPr>
      <t>人員技能不成熟或職務代理</t>
    </r>
    <r>
      <rPr>
        <sz val="12"/>
        <rFont val="Arial"/>
        <family val="2"/>
      </rPr>
      <t>/</t>
    </r>
    <r>
      <rPr>
        <sz val="12"/>
        <rFont val="標楷體"/>
        <family val="4"/>
        <charset val="136"/>
      </rPr>
      <t>交接不清楚，將對業務產生明顯衝擊影響。</t>
    </r>
  </si>
  <si>
    <r>
      <rPr>
        <sz val="12"/>
        <rFont val="標楷體"/>
        <family val="4"/>
        <charset val="136"/>
      </rPr>
      <t>組織可以接受</t>
    </r>
    <r>
      <rPr>
        <sz val="12"/>
        <rFont val="Arial"/>
        <family val="2"/>
      </rPr>
      <t>1</t>
    </r>
    <r>
      <rPr>
        <sz val="12"/>
        <rFont val="標楷體"/>
        <family val="4"/>
        <charset val="136"/>
      </rPr>
      <t>個工作天內，人員無法到班工作之情形。</t>
    </r>
  </si>
  <si>
    <t>組織之資產或提供的服務具有保密需求，外洩將對組織安全造成一定衝擊。</t>
  </si>
  <si>
    <r>
      <t>組織之資產或提供的服務內容錯誤</t>
    </r>
    <r>
      <rPr>
        <sz val="12"/>
        <rFont val="標楷體"/>
        <family val="4"/>
        <charset val="136"/>
      </rPr>
      <t>，將對組織營運產生一定衝擊影響。</t>
    </r>
  </si>
  <si>
    <r>
      <t>組織可以接受</t>
    </r>
    <r>
      <rPr>
        <sz val="12"/>
        <rFont val="Arial"/>
        <family val="2"/>
      </rPr>
      <t>1</t>
    </r>
    <r>
      <rPr>
        <sz val="12"/>
        <rFont val="標楷體"/>
        <family val="4"/>
        <charset val="136"/>
      </rPr>
      <t>個工作天內，</t>
    </r>
    <r>
      <rPr>
        <sz val="12"/>
        <color rgb="FF000000"/>
        <rFont val="標楷體"/>
        <family val="4"/>
        <charset val="136"/>
      </rPr>
      <t>組織之核心資產或服務</t>
    </r>
    <r>
      <rPr>
        <sz val="12"/>
        <rFont val="標楷體"/>
        <family val="4"/>
        <charset val="136"/>
      </rPr>
      <t>無法使用之情形。</t>
    </r>
  </si>
  <si>
    <r>
      <rPr>
        <sz val="12"/>
        <color rgb="FF000000"/>
        <rFont val="標楷體"/>
        <family val="4"/>
        <charset val="136"/>
      </rPr>
      <t>設備設定或內容涉及法律規定保密之資訊，洩漏後將引起組織安全遭受重大的損失者。</t>
    </r>
  </si>
  <si>
    <r>
      <rPr>
        <sz val="12"/>
        <rFont val="標楷體"/>
        <family val="4"/>
        <charset val="136"/>
      </rPr>
      <t>設備或設定遭受未經授權的破壞或設定被竄改，將對業務產生重大影響。</t>
    </r>
  </si>
  <si>
    <r>
      <rPr>
        <sz val="12"/>
        <rFont val="標楷體"/>
        <family val="4"/>
        <charset val="136"/>
      </rPr>
      <t>組織可以接受短時間</t>
    </r>
    <r>
      <rPr>
        <sz val="12"/>
        <rFont val="Arial"/>
        <family val="2"/>
      </rPr>
      <t>(4</t>
    </r>
    <r>
      <rPr>
        <sz val="12"/>
        <rFont val="標楷體"/>
        <family val="4"/>
        <charset val="136"/>
      </rPr>
      <t>個鐘頭內</t>
    </r>
    <r>
      <rPr>
        <sz val="12"/>
        <rFont val="Arial"/>
        <family val="2"/>
      </rPr>
      <t>)</t>
    </r>
    <r>
      <rPr>
        <sz val="12"/>
        <rFont val="標楷體"/>
        <family val="4"/>
        <charset val="136"/>
      </rPr>
      <t>，設備無法使用之情形。</t>
    </r>
  </si>
  <si>
    <r>
      <rPr>
        <sz val="12"/>
        <rFont val="標楷體"/>
        <family val="4"/>
        <charset val="136"/>
      </rPr>
      <t>人員負責組織機密資訊之管理工作，洩漏後將引起組織安全遭受重大的損失者。</t>
    </r>
  </si>
  <si>
    <r>
      <rPr>
        <sz val="12"/>
        <rFont val="標楷體"/>
        <family val="4"/>
        <charset val="136"/>
      </rPr>
      <t>人員技能不成熟或職務代理</t>
    </r>
    <r>
      <rPr>
        <sz val="12"/>
        <rFont val="Arial"/>
        <family val="2"/>
      </rPr>
      <t>/</t>
    </r>
    <r>
      <rPr>
        <sz val="12"/>
        <rFont val="標楷體"/>
        <family val="4"/>
        <charset val="136"/>
      </rPr>
      <t>交接不清楚，將對業務產生重大影響，且可能導致暫時性業務中斷。</t>
    </r>
  </si>
  <si>
    <r>
      <rPr>
        <sz val="12"/>
        <rFont val="標楷體"/>
        <family val="4"/>
        <charset val="136"/>
      </rPr>
      <t>組織可以接受短時間</t>
    </r>
    <r>
      <rPr>
        <sz val="12"/>
        <rFont val="Arial"/>
        <family val="2"/>
      </rPr>
      <t>(4</t>
    </r>
    <r>
      <rPr>
        <sz val="12"/>
        <rFont val="標楷體"/>
        <family val="4"/>
        <charset val="136"/>
      </rPr>
      <t>個鐘頭內</t>
    </r>
    <r>
      <rPr>
        <sz val="12"/>
        <rFont val="Arial"/>
        <family val="2"/>
      </rPr>
      <t>)</t>
    </r>
    <r>
      <rPr>
        <sz val="12"/>
        <rFont val="標楷體"/>
        <family val="4"/>
        <charset val="136"/>
      </rPr>
      <t>，人員無法到班工作之情形。</t>
    </r>
  </si>
  <si>
    <t>組織之資產或提供的服務在法律上具有保密責任之資訊，洩漏後將會有法律議題者。</t>
  </si>
  <si>
    <r>
      <t>組織之資產或提供的服務內容錯誤</t>
    </r>
    <r>
      <rPr>
        <sz val="12"/>
        <rFont val="標楷體"/>
        <family val="4"/>
        <charset val="136"/>
      </rPr>
      <t>，將對組織營運產生重大影響，且可能導致暫時性業務中斷。</t>
    </r>
  </si>
  <si>
    <r>
      <t>組織可以接受短時間</t>
    </r>
    <r>
      <rPr>
        <sz val="12"/>
        <rFont val="Arial"/>
        <family val="2"/>
      </rPr>
      <t>(4</t>
    </r>
    <r>
      <rPr>
        <sz val="12"/>
        <rFont val="標楷體"/>
        <family val="4"/>
        <charset val="136"/>
      </rPr>
      <t>個鐘頭內</t>
    </r>
    <r>
      <rPr>
        <sz val="12"/>
        <rFont val="Arial"/>
        <family val="2"/>
      </rPr>
      <t>)</t>
    </r>
    <r>
      <rPr>
        <sz val="12"/>
        <rFont val="標楷體"/>
        <family val="4"/>
        <charset val="136"/>
      </rPr>
      <t>，</t>
    </r>
    <r>
      <rPr>
        <sz val="12"/>
        <color rgb="FF000000"/>
        <rFont val="標楷體"/>
        <family val="4"/>
        <charset val="136"/>
      </rPr>
      <t>組織之核心資產或服務</t>
    </r>
    <r>
      <rPr>
        <sz val="12"/>
        <rFont val="標楷體"/>
        <family val="4"/>
        <charset val="136"/>
      </rPr>
      <t>無法使用之情形。</t>
    </r>
  </si>
  <si>
    <r>
      <rPr>
        <sz val="12"/>
        <color rgb="FF000000"/>
        <rFont val="標楷體"/>
        <family val="4"/>
        <charset val="136"/>
      </rPr>
      <t>設備設定或內容為具有極高機密價值的資訊，資訊揭露予非授權者將危及國家安全者。</t>
    </r>
  </si>
  <si>
    <r>
      <rPr>
        <sz val="12"/>
        <rFont val="標楷體"/>
        <family val="4"/>
        <charset val="136"/>
      </rPr>
      <t>設備或設定遭受未經授權的破壞或設定被竄改，將對業務產生極嚴重的衝擊。</t>
    </r>
  </si>
  <si>
    <r>
      <rPr>
        <sz val="12"/>
        <rFont val="標楷體"/>
        <family val="4"/>
        <charset val="136"/>
      </rPr>
      <t>組織可以忍受極短時間</t>
    </r>
    <r>
      <rPr>
        <sz val="12"/>
        <rFont val="Arial"/>
        <family val="2"/>
      </rPr>
      <t>(1</t>
    </r>
    <r>
      <rPr>
        <sz val="12"/>
        <rFont val="標楷體"/>
        <family val="4"/>
        <charset val="136"/>
      </rPr>
      <t>個鐘頭內</t>
    </r>
    <r>
      <rPr>
        <sz val="12"/>
        <rFont val="Arial"/>
        <family val="2"/>
      </rPr>
      <t>)</t>
    </r>
    <r>
      <rPr>
        <sz val="12"/>
        <rFont val="標楷體"/>
        <family val="4"/>
        <charset val="136"/>
      </rPr>
      <t>，設備無法使用之情形。</t>
    </r>
  </si>
  <si>
    <r>
      <rPr>
        <sz val="12"/>
        <rFont val="標楷體"/>
        <family val="4"/>
        <charset val="136"/>
      </rPr>
      <t>人員負責組織機密資訊之管理工作，資訊揭露予非授權者將危及國家安全者。</t>
    </r>
  </si>
  <si>
    <r>
      <rPr>
        <sz val="12"/>
        <rFont val="標楷體"/>
        <family val="4"/>
        <charset val="136"/>
      </rPr>
      <t>人員技能不成熟或職務代理</t>
    </r>
    <r>
      <rPr>
        <sz val="12"/>
        <rFont val="Arial"/>
        <family val="2"/>
      </rPr>
      <t>/</t>
    </r>
    <r>
      <rPr>
        <sz val="12"/>
        <rFont val="標楷體"/>
        <family val="4"/>
        <charset val="136"/>
      </rPr>
      <t>交接不清楚，將對業務產生重大影響，且可能導致長時間嚴重的業務中斷。</t>
    </r>
  </si>
  <si>
    <r>
      <rPr>
        <sz val="12"/>
        <rFont val="標楷體"/>
        <family val="4"/>
        <charset val="136"/>
      </rPr>
      <t>組織可以忍受極短時間</t>
    </r>
    <r>
      <rPr>
        <sz val="12"/>
        <rFont val="Arial"/>
        <family val="2"/>
      </rPr>
      <t>(1</t>
    </r>
    <r>
      <rPr>
        <sz val="12"/>
        <rFont val="標楷體"/>
        <family val="4"/>
        <charset val="136"/>
      </rPr>
      <t>個鐘頭內</t>
    </r>
    <r>
      <rPr>
        <sz val="12"/>
        <rFont val="Arial"/>
        <family val="2"/>
      </rPr>
      <t>)</t>
    </r>
    <r>
      <rPr>
        <sz val="12"/>
        <rFont val="標楷體"/>
        <family val="4"/>
        <charset val="136"/>
      </rPr>
      <t>，人員無法到班工作之情形。</t>
    </r>
  </si>
  <si>
    <t>組織之資產或提供的服務具有極高機密價值的資訊，資訊揭露予非授權者將危及國家安全者。</t>
  </si>
  <si>
    <r>
      <t>組織之資產或提供的服務內容錯誤</t>
    </r>
    <r>
      <rPr>
        <sz val="12"/>
        <rFont val="標楷體"/>
        <family val="4"/>
        <charset val="136"/>
      </rPr>
      <t>，將對組織營運產生重大影響，且可能導致長時間嚴重的業務中斷。</t>
    </r>
  </si>
  <si>
    <r>
      <t>組織可以忍受極短時間</t>
    </r>
    <r>
      <rPr>
        <sz val="12"/>
        <rFont val="Arial"/>
        <family val="2"/>
      </rPr>
      <t>(1</t>
    </r>
    <r>
      <rPr>
        <sz val="12"/>
        <rFont val="標楷體"/>
        <family val="4"/>
        <charset val="136"/>
      </rPr>
      <t>個鐘頭內</t>
    </r>
    <r>
      <rPr>
        <sz val="12"/>
        <rFont val="Arial"/>
        <family val="2"/>
      </rPr>
      <t>)</t>
    </r>
    <r>
      <rPr>
        <sz val="12"/>
        <rFont val="標楷體"/>
        <family val="4"/>
        <charset val="136"/>
      </rPr>
      <t>，</t>
    </r>
    <r>
      <rPr>
        <sz val="12"/>
        <color rgb="FF000000"/>
        <rFont val="標楷體"/>
        <family val="4"/>
        <charset val="136"/>
      </rPr>
      <t>組織之核心資產或服務</t>
    </r>
    <r>
      <rPr>
        <sz val="12"/>
        <rFont val="標楷體"/>
        <family val="4"/>
        <charset val="136"/>
      </rPr>
      <t>無法使用之情形。</t>
    </r>
  </si>
  <si>
    <t>等級</t>
  </si>
  <si>
    <t>風險衝擊程度</t>
  </si>
  <si>
    <t>風險可能性</t>
  </si>
  <si>
    <t>無傷害：
1).對組織形象無任何影響
2).資料外洩或遭受竄改不致影響個人權益，資料無須重新取得
3).組織可接受3天以上此項資產/服務無法使用或僅影響非核心業務
4).不會造成組織金額的損失
5).該威脅不會造成任何關於法令法規的影響</t>
    <phoneticPr fontId="4" type="noConversion"/>
  </si>
  <si>
    <t>該威脅利用其弱點的機會極低：
1).3年以上組織與業務相近組織皆無發生類似的事件。
2).組織已採用嚴謹的管理措施並配合系統管制的控制措施及稽核機制，系統定期產生報表或稽查人員透過Log檢視相關存取之資料。
3).保存之資料或檔案紙本已有納入檔案管理機制保存，且保存地點已門禁管理系統與專責人員進行管理及資料之調閱。
4).組織已與外部單位簽訂載明其SLA(最低服務水準)之相關契約，定期進行監控並產生報告。</t>
    <phoneticPr fontId="4" type="noConversion"/>
  </si>
  <si>
    <t xml:space="preserve">輕微傷害：
1).對組織形象造成輕微的影響，威脅造成的衝擊可接受
2).資料外洩或遭受竄改對個人權益影響輕微，資料重新取得容易
3).組織可接受1~3天此項資產/服務無法使用或造成核心業務效能降低
4).對組織造成的金額損失可接受
5).該威脅會造成同仁遭受內部的懲處或外部廠商違反訂定的契約SLA
</t>
    <phoneticPr fontId="4" type="noConversion"/>
  </si>
  <si>
    <t xml:space="preserve">該威脅有可能利用此弱點：
1).3年內組織或業務相近組織曾發生過類似的事件
2).組織已採用嚴謹的管理措施並配合系統管制的控制措施，如限制進出或登入的權限
3).保存之資料或檔案紙本已有納入檔案管理機制保存，而且透過專責人員進行資料之調閱。
4).組織已與外部單位簽訂相關契約並載明其SLA(最低服務水準)　
</t>
    <phoneticPr fontId="4" type="noConversion"/>
  </si>
  <si>
    <t>低度傷害：
1).對組織形象造成一定的影響，該威脅對組織造成一定的衝擊
2).資料外洩或遭受竄改造成少數個人權益損害
3).資料毀損/遺失可立即透過備份資料回復
4).組織可接受1天內此項資產/服務無法使用或造成核心業務執行效能緩慢
5).對組織造成的損失超過10萬元以上
6).該威脅會造成同仁與其直屬主管遭受到上級單位的懲處</t>
    <phoneticPr fontId="4" type="noConversion"/>
  </si>
  <si>
    <t xml:space="preserve">該威脅很有可能利用此弱點：
1).1年內組織或業務相近組織曾發生過類似的事件。
2).組織採用較嚴謹的管理措施，如承辦人員自行控管外由稽查人員(不)定期進行檢核。
3).保存之資料或檔案紙本已保存至特定位置或倉庫，相關人員可自行進入調閱資料
4).組織已與外部單位簽訂相關契約
</t>
    <phoneticPr fontId="4" type="noConversion"/>
  </si>
  <si>
    <t xml:space="preserve">中度傷害：
1).對組織形象造成嚴重的影響，該威脅對組織造成重大的衝擊(平面媒體的負面報導)
2).資料外洩或遭受竄改造成區域性的個人權益損害
3).資料毀損/遺失組織備份資料可於4小時內回復
4).組織可接受4小時內此項資產/服務無法使用或造成部份核心業務停頓
5).對組織造成的損失超過100萬元以上
6).該威脅產生會造成違反法令之情形，單位主管需受到懲處
</t>
    <phoneticPr fontId="4" type="noConversion"/>
  </si>
  <si>
    <t xml:space="preserve">該威脅容易利用此弱點：
1).年度發生次數為1次
2).組織採用簡易的管理措施，如承辦人員自行控管或透過鑰匙進行管控
3).資料或檔案紙本由相關人員自行保管與使用且辦公區域已有適當之區隔
4).組織僅採用叫修或維護方式(未與外部單位簽訂相關契約)
</t>
    <phoneticPr fontId="4" type="noConversion"/>
  </si>
  <si>
    <t xml:space="preserve">重大災難：
1).對組織形象造成極嚴重的影響，該威脅對組織造成極嚴重的衝擊(網路/新聞媒體的負面報導)
2).資料外洩或遭受竄改造成大規模的個人權益損害
3).資料毀損/遺失且組織無任何備份資料可供回復或回復時間須超過4小時
4).組織無法接受此項資產/服務無法使用(如1小時內)或造成核心業務完全停頓
5).對組織造成的損失超過1000萬元以上
6).該威脅產生會造成嚴重違反法令之情形，高階主管需下台負責
</t>
    <phoneticPr fontId="4" type="noConversion"/>
  </si>
  <si>
    <t xml:space="preserve">該威脅非常容易利用此弱點：
1).年度發生次數為2次以上
2).組織未採用任何的控制或管理措施
</t>
    <phoneticPr fontId="4" type="noConversion"/>
  </si>
  <si>
    <t>系統名稱</t>
    <phoneticPr fontId="4" type="noConversion"/>
  </si>
  <si>
    <t>版本</t>
    <phoneticPr fontId="4" type="noConversion"/>
  </si>
  <si>
    <t>作業系統名稱與版本</t>
    <phoneticPr fontId="4" type="noConversion"/>
  </si>
  <si>
    <t>資料庫名稱與版本</t>
    <phoneticPr fontId="4" type="noConversion"/>
  </si>
  <si>
    <t>其他搭配應用軟體與版本</t>
    <phoneticPr fontId="4" type="noConversion"/>
  </si>
  <si>
    <t>安裝路徑</t>
    <phoneticPr fontId="4" type="noConversion"/>
  </si>
  <si>
    <t>組態元件/版本</t>
    <phoneticPr fontId="4" type="noConversion"/>
  </si>
  <si>
    <t>容錯/備份/備援</t>
    <phoneticPr fontId="4" type="noConversion"/>
  </si>
  <si>
    <t>變更機制</t>
    <phoneticPr fontId="4" type="noConversion"/>
  </si>
  <si>
    <t>技術脆弱性管理</t>
    <phoneticPr fontId="4" type="noConversion"/>
  </si>
  <si>
    <t>備註</t>
    <phoneticPr fontId="4" type="noConversion"/>
  </si>
  <si>
    <t>HIS 醫療核心資訊系統</t>
  </si>
  <si>
    <t>Windows Server 2016 Standard</t>
  </si>
  <si>
    <t>MS SQL</t>
  </si>
  <si>
    <t>.Net Core 8.0 Hosting Runtime</t>
  </si>
  <si>
    <t>https://dotnet.microsoft.com/zh-tw/download/dotnet/8.0</t>
  </si>
  <si>
    <t>8.0.10</t>
  </si>
  <si>
    <t>Load Balance</t>
  </si>
  <si>
    <t>自動</t>
  </si>
  <si>
    <t>PACS 系統</t>
  </si>
  <si>
    <t>S017</t>
  </si>
  <si>
    <t>LIS 系統</t>
  </si>
  <si>
    <t>人工</t>
  </si>
  <si>
    <t>ClientServer</t>
  </si>
  <si>
    <t>S018</t>
  </si>
  <si>
    <t>EMR 電子病歷管理系統</t>
  </si>
  <si>
    <t>.Net Core 6.0 Hosting Runtime</t>
  </si>
  <si>
    <t>S019</t>
  </si>
  <si>
    <t>人體生物資料庫(Biobank)系統</t>
  </si>
  <si>
    <t>無</t>
  </si>
  <si>
    <t>硬體廠牌/型號</t>
    <phoneticPr fontId="4" type="noConversion"/>
  </si>
  <si>
    <t>規格(CPU/RAM/HDD/其他)</t>
    <phoneticPr fontId="4" type="noConversion"/>
  </si>
  <si>
    <t>韌體(版本/變更)</t>
    <phoneticPr fontId="4" type="noConversion"/>
  </si>
  <si>
    <t>組態(版本/變更)</t>
    <phoneticPr fontId="4" type="noConversion"/>
  </si>
  <si>
    <t>系統更新機制(Update)</t>
    <phoneticPr fontId="4" type="noConversion"/>
  </si>
  <si>
    <t>IP</t>
    <phoneticPr fontId="4" type="noConversion"/>
  </si>
  <si>
    <t>電腦名稱</t>
    <phoneticPr fontId="4" type="noConversion"/>
  </si>
  <si>
    <t>子網路遮罩</t>
    <phoneticPr fontId="4" type="noConversion"/>
  </si>
  <si>
    <t>DNS</t>
  </si>
  <si>
    <t>CPU</t>
    <phoneticPr fontId="4" type="noConversion"/>
  </si>
  <si>
    <t>RAM</t>
    <phoneticPr fontId="4" type="noConversion"/>
  </si>
  <si>
    <t>儲存空間</t>
    <phoneticPr fontId="4" type="noConversion"/>
  </si>
  <si>
    <t>設定檔(GPO)版本</t>
    <phoneticPr fontId="4" type="noConversion"/>
  </si>
  <si>
    <t>NTP設定</t>
    <phoneticPr fontId="4" type="noConversion"/>
  </si>
  <si>
    <t>技術性脆弱管理</t>
    <phoneticPr fontId="4" type="noConversion"/>
  </si>
  <si>
    <t>資料庫系統名稱與版本</t>
    <phoneticPr fontId="4" type="noConversion"/>
  </si>
  <si>
    <t>作業系統與版本</t>
    <phoneticPr fontId="4" type="noConversion"/>
  </si>
  <si>
    <t>容錯機制</t>
    <phoneticPr fontId="4" type="noConversion"/>
  </si>
  <si>
    <t>設定檔版本</t>
    <phoneticPr fontId="4" type="noConversion"/>
  </si>
  <si>
    <t>備份機制</t>
    <phoneticPr fontId="4" type="noConversion"/>
  </si>
  <si>
    <t>Oracle /</t>
    <phoneticPr fontId="4" type="noConversion"/>
  </si>
  <si>
    <t>S003</t>
    <phoneticPr fontId="4" type="noConversion"/>
  </si>
  <si>
    <t>SQL SERVER /</t>
    <phoneticPr fontId="4" type="noConversion"/>
  </si>
  <si>
    <t>S004</t>
    <phoneticPr fontId="4" type="noConversion"/>
  </si>
  <si>
    <t>S015</t>
    <phoneticPr fontId="4" type="noConversion"/>
  </si>
  <si>
    <t>SQL SERVER 2019</t>
  </si>
  <si>
    <t>網路設備名稱</t>
    <phoneticPr fontId="4" type="noConversion"/>
  </si>
  <si>
    <t>廠牌及型號</t>
    <phoneticPr fontId="4" type="noConversion"/>
  </si>
  <si>
    <t>流量</t>
    <phoneticPr fontId="4" type="noConversion"/>
  </si>
  <si>
    <t>容錯機制(如HA)</t>
  </si>
  <si>
    <t>韌體名稱</t>
    <phoneticPr fontId="4" type="noConversion"/>
  </si>
  <si>
    <t>組態設定檔版本</t>
    <phoneticPr fontId="4" type="noConversion"/>
  </si>
  <si>
    <t>SKH-Outside-SW</t>
  </si>
  <si>
    <t>Juniper / EX3400-48T</t>
  </si>
  <si>
    <t>10.99.12.50</t>
  </si>
  <si>
    <t>　</t>
  </si>
  <si>
    <t>virtual-chassis</t>
  </si>
  <si>
    <t xml:space="preserve">JUNOS </t>
  </si>
  <si>
    <t>21.4R3-S5.4</t>
  </si>
  <si>
    <t>SKMH-BQ-Core</t>
  </si>
  <si>
    <t>Juniper / EX4650-48Y-8C</t>
  </si>
  <si>
    <t>10.99.12.87</t>
  </si>
  <si>
    <t>20.4R3-S5.4</t>
  </si>
  <si>
    <t>SKMH-BQ-DMZ</t>
  </si>
  <si>
    <t>10.99.12.88</t>
  </si>
  <si>
    <t>Cisco / C9200-48T-4X</t>
  </si>
  <si>
    <t>10.1.254.252</t>
  </si>
  <si>
    <t>StackWise</t>
  </si>
  <si>
    <t>IOS-XE</t>
  </si>
  <si>
    <t>17.6.4(fc1)</t>
  </si>
  <si>
    <t>VSS6807</t>
  </si>
  <si>
    <t>Cisco / C6807-XL</t>
  </si>
  <si>
    <t>10.1.99.1</t>
  </si>
  <si>
    <t>VSS</t>
  </si>
  <si>
    <t>IOS</t>
  </si>
  <si>
    <t>15.5(1)SY5(fc3)</t>
  </si>
  <si>
    <t>SKH-PA820-1</t>
  </si>
  <si>
    <t>Palo Alto / PA-820</t>
  </si>
  <si>
    <t>10.99.12.43</t>
  </si>
  <si>
    <t>HA</t>
  </si>
  <si>
    <t>PAN-OS</t>
  </si>
  <si>
    <t>10.2.13-h5</t>
  </si>
  <si>
    <t>SKH-LC1.skh.org.tw</t>
  </si>
  <si>
    <t>F5 / F5-i2600</t>
  </si>
  <si>
    <t>10.99.12.67</t>
  </si>
  <si>
    <t>BIG-IP</t>
  </si>
  <si>
    <t>17.1.1.4</t>
  </si>
  <si>
    <t>SKH-LTM-1.skh.org.tw</t>
  </si>
  <si>
    <t>10.99.12.66</t>
  </si>
  <si>
    <t>17.1.1.3</t>
  </si>
  <si>
    <t>LTM_Internet_2.skh.org.tw</t>
  </si>
  <si>
    <t>10.99.12.64</t>
  </si>
  <si>
    <t>SKMH-BQ-FGT200F-1</t>
  </si>
  <si>
    <t>Fortinet / FG-200F</t>
  </si>
  <si>
    <t>10.1.220.33</t>
  </si>
  <si>
    <t>Forti OS</t>
  </si>
  <si>
    <t>v7.0.14</t>
  </si>
  <si>
    <t>服務類型</t>
    <phoneticPr fontId="4" type="noConversion"/>
  </si>
  <si>
    <t>服務提供商</t>
  </si>
  <si>
    <t>頻寬</t>
    <phoneticPr fontId="4" type="noConversion"/>
  </si>
  <si>
    <t>IP數量</t>
    <phoneticPr fontId="4" type="noConversion"/>
  </si>
  <si>
    <t>線路型態</t>
    <phoneticPr fontId="4" type="noConversion"/>
  </si>
  <si>
    <t>硬體需求</t>
    <phoneticPr fontId="4" type="noConversion"/>
  </si>
  <si>
    <t>合約</t>
    <phoneticPr fontId="4" type="noConversion"/>
  </si>
  <si>
    <t>V002</t>
    <phoneticPr fontId="4" type="noConversion"/>
  </si>
  <si>
    <t>V003</t>
    <phoneticPr fontId="4" type="noConversion"/>
  </si>
  <si>
    <t>核心系統網路服務GSNVPN網路</t>
    <phoneticPr fontId="4" type="noConversion"/>
  </si>
  <si>
    <t>組態編號</t>
  </si>
  <si>
    <t>服務類型</t>
  </si>
  <si>
    <t>服務合約期限</t>
  </si>
  <si>
    <t>資源
(CPU、RAM、儲存空間)</t>
  </si>
  <si>
    <t>頻寬</t>
  </si>
  <si>
    <t>傳輸/資料加密方式</t>
  </si>
  <si>
    <t>防火牆規則檔版本
/基底備份日期</t>
  </si>
  <si>
    <t>身分驗證機制</t>
  </si>
  <si>
    <t>儲存地區</t>
  </si>
  <si>
    <t>備份週期/方式</t>
  </si>
  <si>
    <t>復原時間</t>
  </si>
  <si>
    <t>監控工具/機制</t>
  </si>
  <si>
    <t>組態管理人</t>
  </si>
  <si>
    <t>類別</t>
  </si>
  <si>
    <t>資產價值 
(C,I,A)</t>
    <phoneticPr fontId="4" type="noConversion"/>
  </si>
  <si>
    <t>Information
資訊</t>
    <phoneticPr fontId="4" type="noConversion"/>
  </si>
  <si>
    <t>文件</t>
    <phoneticPr fontId="4" type="noConversion"/>
  </si>
  <si>
    <t>F001</t>
    <phoneticPr fontId="4" type="noConversion"/>
  </si>
  <si>
    <t>Windows 2000</t>
    <phoneticPr fontId="4" type="noConversion"/>
  </si>
  <si>
    <t>微軟視窗2000標準版作業系統</t>
    <phoneticPr fontId="4" type="noConversion"/>
  </si>
  <si>
    <t>F002</t>
    <phoneticPr fontId="4" type="noConversion"/>
  </si>
  <si>
    <t xml:space="preserve">Windows Server 2003 Standard </t>
    <phoneticPr fontId="4" type="noConversion"/>
  </si>
  <si>
    <t>微軟視窗2003標準版作業系統</t>
    <phoneticPr fontId="4" type="noConversion"/>
  </si>
  <si>
    <t>F003</t>
    <phoneticPr fontId="4" type="noConversion"/>
  </si>
  <si>
    <t>Windows Server 2003 Enterprise</t>
    <phoneticPr fontId="4" type="noConversion"/>
  </si>
  <si>
    <t>微軟視窗2003企業版作業系統</t>
    <phoneticPr fontId="4" type="noConversion"/>
  </si>
  <si>
    <t>F004</t>
    <phoneticPr fontId="4" type="noConversion"/>
  </si>
  <si>
    <t>RHEL 3</t>
    <phoneticPr fontId="4" type="noConversion"/>
  </si>
  <si>
    <t>RedHat Enterprise Linux 第3版</t>
    <phoneticPr fontId="4" type="noConversion"/>
  </si>
  <si>
    <t>F005</t>
    <phoneticPr fontId="4" type="noConversion"/>
  </si>
  <si>
    <t>RHEL 4</t>
    <phoneticPr fontId="4" type="noConversion"/>
  </si>
  <si>
    <t>RedHat Enterprise Linux 第4版</t>
    <phoneticPr fontId="4" type="noConversion"/>
  </si>
  <si>
    <t>F006</t>
    <phoneticPr fontId="4" type="noConversion"/>
  </si>
  <si>
    <t>RHEL 5</t>
    <phoneticPr fontId="4" type="noConversion"/>
  </si>
  <si>
    <t>RedHat Enterprise Linux 第5版</t>
    <phoneticPr fontId="4" type="noConversion"/>
  </si>
  <si>
    <t>資料庫</t>
    <phoneticPr fontId="4" type="noConversion"/>
  </si>
  <si>
    <t>D001</t>
    <phoneticPr fontId="4" type="noConversion"/>
  </si>
  <si>
    <t>共用資料庫</t>
    <phoneticPr fontId="4" type="noConversion"/>
  </si>
  <si>
    <t>新全球資訊網與會內網共用資料庫 (H003)(MS-SQL)</t>
  </si>
  <si>
    <t>申訴案件系統資料庫</t>
    <phoneticPr fontId="4" type="noConversion"/>
  </si>
  <si>
    <t>(H009)(MS-SQL)</t>
  </si>
  <si>
    <t>差勤管理系統資料庫</t>
    <phoneticPr fontId="4" type="noConversion"/>
  </si>
  <si>
    <t>(H010)(MS-SQL)</t>
  </si>
  <si>
    <t>全球資訊納資料庫</t>
    <phoneticPr fontId="4" type="noConversion"/>
  </si>
  <si>
    <t>自行開發AP用資料庫</t>
    <phoneticPr fontId="4" type="noConversion"/>
  </si>
  <si>
    <t>貯存庫管理系統資料庫</t>
    <phoneticPr fontId="4" type="noConversion"/>
  </si>
  <si>
    <t>(H012)(Informix)</t>
    <phoneticPr fontId="4" type="noConversion"/>
  </si>
  <si>
    <t>機房監視系統</t>
    <phoneticPr fontId="4" type="noConversion"/>
  </si>
  <si>
    <t>(H013)</t>
    <phoneticPr fontId="4" type="noConversion"/>
  </si>
  <si>
    <t>郵件伺服器</t>
    <phoneticPr fontId="4" type="noConversion"/>
  </si>
  <si>
    <t>(H018)使用者帳號、密碼</t>
    <phoneticPr fontId="4" type="noConversion"/>
  </si>
  <si>
    <t>網域名稱查詢</t>
    <phoneticPr fontId="4" type="noConversion"/>
  </si>
  <si>
    <t>(H018)網域名稱</t>
    <phoneticPr fontId="4" type="noConversion"/>
  </si>
  <si>
    <t>工程會會內網</t>
    <phoneticPr fontId="4" type="noConversion"/>
  </si>
  <si>
    <t>(H023)(MS-SQL)</t>
    <phoneticPr fontId="4" type="noConversion"/>
  </si>
  <si>
    <t>CQ</t>
    <phoneticPr fontId="4" type="noConversion"/>
  </si>
  <si>
    <t>(H024)(MS-SQL)</t>
    <phoneticPr fontId="4" type="noConversion"/>
  </si>
  <si>
    <t>資料倉儲</t>
    <phoneticPr fontId="4" type="noConversion"/>
  </si>
  <si>
    <t>(H025)(ORACLE)</t>
    <phoneticPr fontId="4" type="noConversion"/>
  </si>
  <si>
    <t>中華電信介接</t>
    <phoneticPr fontId="4" type="noConversion"/>
  </si>
  <si>
    <t>A</t>
  </si>
  <si>
    <t>Software 
and 
Application
軟體作業
與
應用程式</t>
    <phoneticPr fontId="4" type="noConversion"/>
  </si>
  <si>
    <t>軟體</t>
    <phoneticPr fontId="4" type="noConversion"/>
  </si>
  <si>
    <t>HP openview nnm 7.5</t>
    <phoneticPr fontId="4" type="noConversion"/>
  </si>
  <si>
    <t>HP 網路監視系統 7.5版</t>
    <phoneticPr fontId="4" type="noConversion"/>
  </si>
  <si>
    <t>Hardware
硬體</t>
    <phoneticPr fontId="4" type="noConversion"/>
  </si>
  <si>
    <t>網路設備</t>
    <phoneticPr fontId="4" type="noConversion"/>
  </si>
  <si>
    <t>N001</t>
    <phoneticPr fontId="4" type="noConversion"/>
  </si>
  <si>
    <t>Router</t>
    <phoneticPr fontId="4" type="noConversion"/>
  </si>
  <si>
    <t>Cisco 2621</t>
    <phoneticPr fontId="4" type="noConversion"/>
  </si>
  <si>
    <t>N002</t>
    <phoneticPr fontId="4" type="noConversion"/>
  </si>
  <si>
    <t>Firewall</t>
    <phoneticPr fontId="4" type="noConversion"/>
  </si>
  <si>
    <t>Cisco PIX 525 * 2</t>
    <phoneticPr fontId="4" type="noConversion"/>
  </si>
  <si>
    <t>N003</t>
    <phoneticPr fontId="4" type="noConversion"/>
  </si>
  <si>
    <t>IPS</t>
    <phoneticPr fontId="4" type="noConversion"/>
  </si>
  <si>
    <t>McAfee IntruShield 1200 * 2 + Intrushield Manager (HP DL 380 G5)</t>
    <phoneticPr fontId="4" type="noConversion"/>
  </si>
  <si>
    <t>N004</t>
    <phoneticPr fontId="4" type="noConversion"/>
  </si>
  <si>
    <t>L3 Switch</t>
    <phoneticPr fontId="4" type="noConversion"/>
  </si>
  <si>
    <t>Foundry BigIron 4000 (切DMZ區及內網)</t>
    <phoneticPr fontId="4" type="noConversion"/>
  </si>
  <si>
    <t>N005</t>
    <phoneticPr fontId="4" type="noConversion"/>
  </si>
  <si>
    <t>Juniper ISG 2000 + Cisco Catalyst 2970 二組，用Juniper做HA，Cisco切VLAN</t>
    <phoneticPr fontId="4" type="noConversion"/>
  </si>
  <si>
    <t>N006</t>
    <phoneticPr fontId="4" type="noConversion"/>
  </si>
  <si>
    <t>192.168.5.X 網段及光纖模組切企劃、技術、工管、秘書 (Cisco Catalyst 3750G-24)</t>
    <phoneticPr fontId="4" type="noConversion"/>
  </si>
  <si>
    <t>N007</t>
    <phoneticPr fontId="4" type="noConversion"/>
  </si>
  <si>
    <t>192.168.2.X 及 192.168.21.X 網段
(Cisco Catalyst 3750G-24)</t>
    <phoneticPr fontId="4" type="noConversion"/>
  </si>
  <si>
    <t>N008</t>
    <phoneticPr fontId="4" type="noConversion"/>
  </si>
  <si>
    <t>192.168.1.X 網段 (Fundry ServerIronXL + D-Link DES-1016D)</t>
    <phoneticPr fontId="4" type="noConversion"/>
  </si>
  <si>
    <t>N009</t>
    <phoneticPr fontId="4" type="noConversion"/>
  </si>
  <si>
    <t>192.168.6.X 網段 (Cisco Catalyst 3750G-24 * 3)</t>
    <phoneticPr fontId="4" type="noConversion"/>
  </si>
  <si>
    <t>N010</t>
    <phoneticPr fontId="4" type="noConversion"/>
  </si>
  <si>
    <t>192.168.9.X 網段 (HP Procurve 8000)</t>
    <phoneticPr fontId="4" type="noConversion"/>
  </si>
  <si>
    <t>192.168.21.X 網段 (D-Link DFE-2616*2)</t>
    <phoneticPr fontId="4" type="noConversion"/>
  </si>
  <si>
    <t>177 OR 179 網段  待確定 (D-Link DFE-2616ix)</t>
    <phoneticPr fontId="4" type="noConversion"/>
  </si>
  <si>
    <t>未接 (D-Link DFE-2616ix + DFE-916)</t>
    <phoneticPr fontId="4" type="noConversion"/>
  </si>
  <si>
    <t>192.168.19.X 網段 (D-Link DFE-916 + Cisco Catalyst 3550-24)</t>
    <phoneticPr fontId="4" type="noConversion"/>
  </si>
  <si>
    <t>192.168.5.X 、192.168.7.X 及192.168.8.X 網段
(Cisco Catalyst 3550-48)</t>
    <phoneticPr fontId="4" type="noConversion"/>
  </si>
  <si>
    <t>210.69.177.X 網段 (Fundry ServerIronXL)</t>
    <phoneticPr fontId="4" type="noConversion"/>
  </si>
  <si>
    <t>電腦主機</t>
    <phoneticPr fontId="4" type="noConversion"/>
  </si>
  <si>
    <t>流量監控系統</t>
    <phoneticPr fontId="4" type="noConversion"/>
  </si>
  <si>
    <t>MRTG (HP DL380 G4)</t>
    <phoneticPr fontId="4" type="noConversion"/>
  </si>
  <si>
    <t>弱點掃描系統</t>
    <phoneticPr fontId="4" type="noConversion"/>
  </si>
  <si>
    <t>NESSUS + NTP (HP DL380 G4)</t>
    <phoneticPr fontId="4" type="noConversion"/>
  </si>
  <si>
    <t>網路管理系統</t>
    <phoneticPr fontId="4" type="noConversion"/>
  </si>
  <si>
    <t>HP OpenView (HP ML570 G3)</t>
    <phoneticPr fontId="4" type="noConversion"/>
  </si>
  <si>
    <t>新全球資訊網</t>
    <phoneticPr fontId="4" type="noConversion"/>
  </si>
  <si>
    <t>HP ProLiant DL 380 G5 (二台做負載平衝)</t>
    <phoneticPr fontId="4" type="noConversion"/>
  </si>
  <si>
    <t>新工程會會內網</t>
    <phoneticPr fontId="4" type="noConversion"/>
  </si>
  <si>
    <t>新網站共用資料庫</t>
    <phoneticPr fontId="4" type="noConversion"/>
  </si>
  <si>
    <t>WSUS Server</t>
    <phoneticPr fontId="4" type="noConversion"/>
  </si>
  <si>
    <t>提供工程會內Microsoft之Patch更新 (HP DL380 G3)</t>
    <phoneticPr fontId="4" type="noConversion"/>
  </si>
  <si>
    <t>網頁查詢(asp)系統</t>
    <phoneticPr fontId="4" type="noConversion"/>
  </si>
  <si>
    <t>工程會自行發發之asp網頁查詢，為cluster 架構
(HP DL380 G3 * 2)</t>
    <phoneticPr fontId="4" type="noConversion"/>
  </si>
  <si>
    <t>申訴案件系統</t>
    <phoneticPr fontId="4" type="noConversion"/>
  </si>
  <si>
    <t>一台WEB、一台DB，服務對像為工程會內申訴同仁
(HP DL380 G3 * 2)</t>
    <phoneticPr fontId="4" type="noConversion"/>
  </si>
  <si>
    <t>內含人事差勤DB、全球資訊網DB及其他企劃處自行開發所需要的DB，為cluster 架構 (HP DL380 * 2)</t>
    <phoneticPr fontId="4" type="noConversion"/>
  </si>
  <si>
    <t>備援機</t>
    <phoneticPr fontId="4" type="noConversion"/>
  </si>
  <si>
    <t>當有設備硬體損毀時，可替代使用
(HP DL380 G3)</t>
    <phoneticPr fontId="4" type="noConversion"/>
  </si>
  <si>
    <t>貯存庫管理系統</t>
    <phoneticPr fontId="4" type="noConversion"/>
  </si>
  <si>
    <t>Compaq ProLiant DL 360 (含DB)</t>
    <phoneticPr fontId="4" type="noConversion"/>
  </si>
  <si>
    <t>環境設施</t>
    <phoneticPr fontId="4" type="noConversion"/>
  </si>
  <si>
    <t>Sertek + 6 隻鏡頭</t>
    <phoneticPr fontId="4" type="noConversion"/>
  </si>
  <si>
    <t>SYSLOG</t>
    <phoneticPr fontId="4" type="noConversion"/>
  </si>
  <si>
    <t>HP ProLiant DL 380 G4</t>
    <phoneticPr fontId="4" type="noConversion"/>
  </si>
  <si>
    <t>趨勢防毒系統</t>
    <phoneticPr fontId="4" type="noConversion"/>
  </si>
  <si>
    <t>防毒管理系統，同時也提供SPAM Mail功能 (HP ML570 G3)</t>
    <phoneticPr fontId="4" type="noConversion"/>
  </si>
  <si>
    <t>全球資訊網</t>
    <phoneticPr fontId="4" type="noConversion"/>
  </si>
  <si>
    <t>HP ML570 G3 * 2</t>
    <phoneticPr fontId="4" type="noConversion"/>
  </si>
  <si>
    <t>代理伺服器</t>
    <phoneticPr fontId="4" type="noConversion"/>
  </si>
  <si>
    <t>郵件伺服器
網域名稱查詢</t>
    <phoneticPr fontId="4" type="noConversion"/>
  </si>
  <si>
    <t>HP ML570 G3</t>
    <phoneticPr fontId="4" type="noConversion"/>
  </si>
  <si>
    <t>電子閘門系統</t>
    <phoneticPr fontId="4" type="noConversion"/>
  </si>
  <si>
    <t>Compaq ML530</t>
    <phoneticPr fontId="4" type="noConversion"/>
  </si>
  <si>
    <t>未使用</t>
    <phoneticPr fontId="4" type="noConversion"/>
  </si>
  <si>
    <t>Sun Enterprise 420R * 3 + Tape * 2 + Disk Array * 2 + UPS * 2</t>
    <phoneticPr fontId="4" type="noConversion"/>
  </si>
  <si>
    <t>備份系統</t>
    <phoneticPr fontId="4" type="noConversion"/>
  </si>
  <si>
    <t>Veritas</t>
    <phoneticPr fontId="4" type="noConversion"/>
  </si>
  <si>
    <t>HP ProLiant DL 380 G3 + StorageTek L80</t>
    <phoneticPr fontId="4" type="noConversion"/>
  </si>
  <si>
    <t>測試環境</t>
    <phoneticPr fontId="4" type="noConversion"/>
  </si>
  <si>
    <t>正式系統測試環境 (IBM xSeries 250)</t>
    <phoneticPr fontId="4" type="noConversion"/>
  </si>
  <si>
    <t>工程會內網站</t>
    <phoneticPr fontId="4" type="noConversion"/>
  </si>
  <si>
    <t>IBM xSeries 250</t>
    <phoneticPr fontId="4" type="noConversion"/>
  </si>
  <si>
    <t>資料倉儲及中華電信介接用 (HP ML570 G3)</t>
    <phoneticPr fontId="4" type="noConversion"/>
  </si>
  <si>
    <t>IBM Data Stage LAB</t>
    <phoneticPr fontId="4" type="noConversion"/>
  </si>
  <si>
    <t>公文交換前置系統</t>
    <phoneticPr fontId="4" type="noConversion"/>
  </si>
  <si>
    <t>TaTung TSS0-1416</t>
    <phoneticPr fontId="4" type="noConversion"/>
  </si>
  <si>
    <t>秘書處網站</t>
    <phoneticPr fontId="4" type="noConversion"/>
  </si>
  <si>
    <t>HP ProLiant ML 570 G3</t>
    <phoneticPr fontId="4" type="noConversion"/>
  </si>
  <si>
    <t>會議室管理系統</t>
    <phoneticPr fontId="4" type="noConversion"/>
  </si>
  <si>
    <t>HP NetServer LH 3 (含DB)</t>
    <phoneticPr fontId="4" type="noConversion"/>
  </si>
  <si>
    <t>主委提示及會議指示事項辦理情形管理系統</t>
    <phoneticPr fontId="4" type="noConversion"/>
  </si>
  <si>
    <t>HP ProLiant ML 570 G3 (含DB)</t>
    <phoneticPr fontId="4" type="noConversion"/>
  </si>
  <si>
    <t>檔案管理系統</t>
    <phoneticPr fontId="4" type="noConversion"/>
  </si>
  <si>
    <t>HP ProLiant DL 380 G3</t>
    <phoneticPr fontId="4" type="noConversion"/>
  </si>
  <si>
    <t>H032</t>
  </si>
  <si>
    <t>公文管理系統</t>
    <phoneticPr fontId="4" type="noConversion"/>
  </si>
  <si>
    <t>SCSI LVD/SE + Sun Enterprise 3500R + ProWare SB-4120 + Sun Enterprise 4200R + HP 40fx (含DB)</t>
    <phoneticPr fontId="4" type="noConversion"/>
  </si>
  <si>
    <t>H033</t>
  </si>
  <si>
    <t>SAN</t>
    <phoneticPr fontId="4" type="noConversion"/>
  </si>
  <si>
    <t>LSI StorageTek D280 + BROCADE SkillWorm 3200 * 2</t>
    <phoneticPr fontId="4" type="noConversion"/>
  </si>
  <si>
    <t>H034</t>
  </si>
  <si>
    <t>Novell 檔案伺服器</t>
    <phoneticPr fontId="4" type="noConversion"/>
  </si>
  <si>
    <t>HP ProLiant ML 570 G2 * 3</t>
    <phoneticPr fontId="4" type="noConversion"/>
  </si>
  <si>
    <t>H035</t>
  </si>
  <si>
    <t>品管班問卷調查系統</t>
    <phoneticPr fontId="4" type="noConversion"/>
  </si>
  <si>
    <t>HP ProLian ML 570 G3</t>
    <phoneticPr fontId="4" type="noConversion"/>
  </si>
  <si>
    <t>H036</t>
  </si>
  <si>
    <t>工程管理資訊系統</t>
    <phoneticPr fontId="4" type="noConversion"/>
  </si>
  <si>
    <t>Sun V240</t>
    <phoneticPr fontId="4" type="noConversion"/>
  </si>
  <si>
    <t>H037</t>
  </si>
  <si>
    <t>品管班問卷調豆系械及工程管理資訊系統共用
DB(Sun V240 *2 一為備援) + RAID (StorEdge 3300*2)</t>
    <phoneticPr fontId="4" type="noConversion"/>
  </si>
  <si>
    <t>測試主機</t>
    <phoneticPr fontId="4" type="noConversion"/>
  </si>
  <si>
    <t>H038</t>
  </si>
  <si>
    <t>工程管理資訊系統測試平台</t>
    <phoneticPr fontId="4" type="noConversion"/>
  </si>
  <si>
    <t>WEB(Sun V240*2) + DB(Sun 280R)</t>
    <phoneticPr fontId="4" type="noConversion"/>
  </si>
  <si>
    <t>H039</t>
  </si>
  <si>
    <t>備份工程管理資訊系統 web + db (Sun E250 + StorageTek L20)</t>
    <phoneticPr fontId="4" type="noConversion"/>
  </si>
  <si>
    <t>H040</t>
  </si>
  <si>
    <t>技術處檔案伺服器</t>
    <phoneticPr fontId="4" type="noConversion"/>
  </si>
  <si>
    <t>HP DL360 G5</t>
    <phoneticPr fontId="4" type="noConversion"/>
  </si>
  <si>
    <t>H041</t>
  </si>
  <si>
    <t>人事室網站</t>
    <phoneticPr fontId="4" type="noConversion"/>
  </si>
  <si>
    <t>Lemel PC</t>
    <phoneticPr fontId="4" type="noConversion"/>
  </si>
  <si>
    <t>H042</t>
  </si>
  <si>
    <t>審議資訊系統</t>
    <phoneticPr fontId="4" type="noConversion"/>
  </si>
  <si>
    <t>IBM xSeries 232 + Acer VerisonSeries PC(備援) (含DB)</t>
    <phoneticPr fontId="4" type="noConversion"/>
  </si>
  <si>
    <t>H043</t>
  </si>
  <si>
    <t>工程會門禁管理系統</t>
    <phoneticPr fontId="4" type="noConversion"/>
  </si>
  <si>
    <t>IBM NetVista PC (含DB)</t>
    <phoneticPr fontId="4" type="noConversion"/>
  </si>
  <si>
    <t>H044</t>
  </si>
  <si>
    <t>Compaq ProLiant DL 360</t>
    <phoneticPr fontId="4" type="noConversion"/>
  </si>
  <si>
    <t>H045</t>
  </si>
  <si>
    <t>差勤管理系統</t>
    <phoneticPr fontId="4" type="noConversion"/>
  </si>
  <si>
    <t>HP ProLiant DL 360 G5</t>
    <phoneticPr fontId="4" type="noConversion"/>
  </si>
  <si>
    <t>H046</t>
  </si>
  <si>
    <t>HP ProLiant DL 360 G3</t>
    <phoneticPr fontId="4" type="noConversion"/>
  </si>
  <si>
    <t>H047</t>
  </si>
  <si>
    <t>HP ProLiant DL 380 G5</t>
    <phoneticPr fontId="4" type="noConversion"/>
  </si>
  <si>
    <t>H048</t>
  </si>
  <si>
    <t>HP ProLiant DL 380 G5 * 2 (代理伺服器)</t>
    <phoneticPr fontId="4" type="noConversion"/>
  </si>
  <si>
    <t>H049</t>
  </si>
  <si>
    <t>單一簽入</t>
    <phoneticPr fontId="4" type="noConversion"/>
  </si>
  <si>
    <t>H050</t>
  </si>
  <si>
    <t>ETL</t>
    <phoneticPr fontId="4" type="noConversion"/>
  </si>
  <si>
    <t>H051</t>
  </si>
  <si>
    <t>COGNOS</t>
    <phoneticPr fontId="4" type="noConversion"/>
  </si>
  <si>
    <t>H052</t>
  </si>
  <si>
    <t>不斷電系統</t>
    <phoneticPr fontId="4" type="noConversion"/>
  </si>
  <si>
    <t>飛瑞 ( C-6000 + 電池 ) * 6 + 飛瑞 ( C-3000 + 電池 ) * 2</t>
    <phoneticPr fontId="4" type="noConversion"/>
  </si>
  <si>
    <t>H053</t>
  </si>
  <si>
    <t>空調系統</t>
    <phoneticPr fontId="4" type="noConversion"/>
  </si>
  <si>
    <t>東元冷氣 * 2 + Season air cleaner</t>
    <phoneticPr fontId="4" type="noConversion"/>
  </si>
  <si>
    <t>H054</t>
  </si>
  <si>
    <t>門禁系統</t>
    <phoneticPr fontId="4" type="noConversion"/>
  </si>
  <si>
    <t>RECO Research RAC-900 * 2</t>
    <phoneticPr fontId="4" type="noConversion"/>
  </si>
  <si>
    <t>H055</t>
  </si>
  <si>
    <t>H056</t>
  </si>
  <si>
    <t>H057</t>
  </si>
  <si>
    <t>H058</t>
  </si>
  <si>
    <t>H059</t>
  </si>
  <si>
    <t>H060</t>
  </si>
  <si>
    <t>H061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</si>
</sst>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name val="新細明體"/>
      <family val="1"/>
      <charset val="136"/>
    </font>
    <font>
      <b/>
      <sz val="14"/>
      <name val="標楷體"/>
      <family val="4"/>
      <charset val="136"/>
    </font>
    <font>
      <sz val="12"/>
      <name val="Times New Roman"/>
      <family val="1"/>
    </font>
    <font>
      <sz val="12"/>
      <name val="標楷體"/>
      <family val="4"/>
      <charset val="136"/>
    </font>
    <font>
      <sz val="9"/>
      <name val="新細明體"/>
      <family val="1"/>
      <charset val="136"/>
    </font>
    <font>
      <sz val="12"/>
      <name val="Arial"/>
      <family val="2"/>
    </font>
    <font>
      <sz val="12"/>
      <color rgb="FF000000"/>
      <name val="標楷體"/>
      <family val="4"/>
      <charset val="136"/>
    </font>
    <font>
      <sz val="12"/>
      <color rgb="FF000000"/>
      <name val="Arial"/>
      <family val="2"/>
    </font>
    <font>
      <b/>
      <sz val="14"/>
      <name val="微軟正黑體"/>
      <family val="2"/>
      <charset val="136"/>
    </font>
    <font>
      <sz val="14"/>
      <name val="微軟正黑體"/>
      <family val="2"/>
      <charset val="136"/>
    </font>
    <font>
      <sz val="14"/>
      <color rgb="FFFFFFFF"/>
      <name val="標楷體"/>
      <family val="4"/>
      <charset val="136"/>
    </font>
    <font>
      <b/>
      <sz val="14"/>
      <color rgb="FFFFFFFF"/>
      <name val="標楷體"/>
      <family val="4"/>
      <charset val="136"/>
    </font>
    <font>
      <sz val="12"/>
      <color rgb="FFFFFFFF"/>
      <name val="標楷體"/>
      <family val="4"/>
      <charset val="136"/>
    </font>
    <font>
      <sz val="12"/>
      <name val="細明體"/>
      <family val="3"/>
      <charset val="136"/>
    </font>
    <font>
      <sz val="12"/>
      <name val="微軟正黑體"/>
      <family val="2"/>
      <charset val="136"/>
    </font>
    <font>
      <b/>
      <sz val="12"/>
      <name val="微軟正黑體"/>
      <family val="2"/>
      <charset val="136"/>
    </font>
    <font>
      <strike/>
      <sz val="12"/>
      <color rgb="FFFF0000"/>
      <name val="微軟正黑體"/>
      <family val="2"/>
      <charset val="136"/>
    </font>
    <font>
      <sz val="12"/>
      <color rgb="FFFF0000"/>
      <name val="微軟正黑體"/>
      <family val="2"/>
      <charset val="136"/>
    </font>
    <font>
      <u/>
      <sz val="12"/>
      <color theme="10"/>
      <name val="新細明體"/>
      <family val="1"/>
      <charset val="136"/>
    </font>
    <font>
      <b/>
      <sz val="12"/>
      <color rgb="FF000000"/>
      <name val="標楷體"/>
      <family val="4"/>
      <charset val="136"/>
    </font>
  </fonts>
  <fills count="17">
    <fill>
      <patternFill patternType="none"/>
    </fill>
    <fill>
      <patternFill patternType="gray125"/>
    </fill>
    <fill>
      <patternFill patternType="solid">
        <fgColor indexed="27"/>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548DD4"/>
        <bgColor indexed="64"/>
      </patternFill>
    </fill>
    <fill>
      <patternFill patternType="solid">
        <fgColor rgb="FFDBE5F1"/>
        <bgColor indexed="64"/>
      </patternFill>
    </fill>
    <fill>
      <patternFill patternType="solid">
        <fgColor rgb="FFFDE9D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DCE6F1"/>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8" fillId="0" borderId="0" applyNumberFormat="0" applyFill="0" applyBorder="0" applyAlignment="0" applyProtection="0"/>
  </cellStyleXfs>
  <cellXfs count="115">
    <xf numFmtId="0" fontId="0" fillId="0" borderId="0" xfId="0"/>
    <xf numFmtId="0" fontId="1"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0" xfId="0" applyFont="1"/>
    <xf numFmtId="0" fontId="3" fillId="0" borderId="0" xfId="0" applyFont="1" applyAlignment="1">
      <alignment horizontal="center" vertical="center" wrapText="1"/>
    </xf>
    <xf numFmtId="0" fontId="3" fillId="0" borderId="0" xfId="0" applyFont="1" applyAlignment="1">
      <alignment vertical="center"/>
    </xf>
    <xf numFmtId="0" fontId="3" fillId="0" borderId="3" xfId="0" applyFont="1" applyBorder="1" applyAlignment="1">
      <alignment horizontal="center" vertical="center" wrapText="1"/>
    </xf>
    <xf numFmtId="0" fontId="2" fillId="0" borderId="0" xfId="0" applyFont="1" applyAlignment="1">
      <alignment vertical="center"/>
    </xf>
    <xf numFmtId="0" fontId="5" fillId="0" borderId="0" xfId="0" applyFont="1" applyProtection="1">
      <protection locked="0"/>
    </xf>
    <xf numFmtId="0" fontId="5" fillId="0" borderId="0" xfId="0" applyFont="1" applyAlignment="1" applyProtection="1">
      <alignment horizontal="center"/>
      <protection locked="0"/>
    </xf>
    <xf numFmtId="49" fontId="9" fillId="0" borderId="0" xfId="0" applyNumberFormat="1" applyFont="1" applyAlignment="1">
      <alignment vertical="center" wrapText="1"/>
    </xf>
    <xf numFmtId="0" fontId="9" fillId="0" borderId="0" xfId="0" applyFont="1"/>
    <xf numFmtId="0" fontId="9"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5" fillId="0" borderId="0" xfId="0" applyFont="1" applyAlignment="1">
      <alignment horizontal="left" vertical="center" wrapText="1"/>
    </xf>
    <xf numFmtId="0" fontId="5" fillId="4"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5" fillId="0" borderId="0" xfId="0" applyFont="1" applyAlignment="1">
      <alignment horizontal="center" vertical="center" wrapText="1"/>
    </xf>
    <xf numFmtId="0" fontId="5" fillId="7"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6" fillId="9" borderId="1" xfId="0" applyFont="1" applyFill="1" applyBorder="1" applyAlignment="1">
      <alignment horizontal="justify" vertical="center" wrapText="1"/>
    </xf>
    <xf numFmtId="0" fontId="3" fillId="9" borderId="1" xfId="0" applyFont="1" applyFill="1" applyBorder="1" applyAlignment="1">
      <alignment horizontal="justify" vertical="center" wrapText="1"/>
    </xf>
    <xf numFmtId="0" fontId="7" fillId="7"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2" fillId="10" borderId="1" xfId="0" applyFont="1" applyFill="1" applyBorder="1" applyAlignment="1">
      <alignment vertical="center" wrapText="1"/>
    </xf>
    <xf numFmtId="0" fontId="10" fillId="10" borderId="1" xfId="0" applyFont="1" applyFill="1" applyBorder="1" applyAlignment="1">
      <alignment vertical="center" wrapText="1"/>
    </xf>
    <xf numFmtId="0" fontId="11" fillId="10" borderId="1" xfId="0" applyFont="1" applyFill="1" applyBorder="1" applyAlignment="1">
      <alignment vertical="center" wrapText="1"/>
    </xf>
    <xf numFmtId="0" fontId="8" fillId="0" borderId="1" xfId="0" applyFont="1" applyBorder="1" applyAlignment="1">
      <alignment horizontal="center" vertical="center" wrapText="1"/>
    </xf>
    <xf numFmtId="0" fontId="13" fillId="0" borderId="0" xfId="0" applyFont="1" applyProtection="1">
      <protection locked="0"/>
    </xf>
    <xf numFmtId="0" fontId="14" fillId="0" borderId="0" xfId="0" applyFont="1" applyProtection="1">
      <protection locked="0"/>
    </xf>
    <xf numFmtId="0" fontId="15" fillId="0" borderId="1" xfId="0" applyFont="1" applyBorder="1" applyAlignment="1">
      <alignment horizontal="center" vertical="center" wrapText="1"/>
    </xf>
    <xf numFmtId="49" fontId="14" fillId="0" borderId="0" xfId="0" applyNumberFormat="1" applyFont="1" applyAlignment="1">
      <alignment vertical="center" wrapText="1"/>
    </xf>
    <xf numFmtId="0" fontId="14" fillId="0" borderId="0" xfId="0" applyFont="1"/>
    <xf numFmtId="0" fontId="14" fillId="3" borderId="1" xfId="0" applyFont="1" applyFill="1" applyBorder="1" applyAlignment="1">
      <alignment horizontal="center" vertical="center" wrapText="1"/>
    </xf>
    <xf numFmtId="0" fontId="14" fillId="3" borderId="1" xfId="0" applyFont="1" applyFill="1" applyBorder="1" applyAlignment="1">
      <alignment vertical="center" wrapText="1"/>
    </xf>
    <xf numFmtId="0" fontId="14" fillId="0" borderId="1" xfId="0" applyFont="1" applyBorder="1" applyAlignment="1">
      <alignment horizontal="center" vertical="center" wrapText="1"/>
    </xf>
    <xf numFmtId="0" fontId="14" fillId="3" borderId="1" xfId="0" applyFont="1" applyFill="1" applyBorder="1" applyAlignment="1">
      <alignment horizontal="center" vertical="center"/>
    </xf>
    <xf numFmtId="0" fontId="14" fillId="3" borderId="1" xfId="0" applyFont="1" applyFill="1" applyBorder="1" applyAlignment="1">
      <alignment vertical="center"/>
    </xf>
    <xf numFmtId="0" fontId="14" fillId="0" borderId="1" xfId="0" applyFont="1" applyBorder="1" applyAlignment="1">
      <alignment vertical="center" wrapText="1"/>
    </xf>
    <xf numFmtId="0" fontId="14" fillId="0" borderId="0" xfId="0" applyFont="1" applyAlignment="1">
      <alignment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6" fillId="3" borderId="1" xfId="0" applyFont="1" applyFill="1" applyBorder="1" applyAlignment="1">
      <alignment horizontal="center" vertical="center" wrapText="1"/>
    </xf>
    <xf numFmtId="0" fontId="16" fillId="3" borderId="1" xfId="0" applyFont="1" applyFill="1" applyBorder="1" applyAlignment="1">
      <alignment vertical="center" wrapText="1"/>
    </xf>
    <xf numFmtId="0" fontId="16"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17" fillId="3" borderId="1" xfId="0" applyFont="1" applyFill="1" applyBorder="1" applyAlignment="1">
      <alignment vertical="center" wrapText="1"/>
    </xf>
    <xf numFmtId="0" fontId="17" fillId="3" borderId="1" xfId="0" applyFont="1" applyFill="1" applyBorder="1" applyAlignment="1">
      <alignment horizontal="left" vertical="center" wrapText="1"/>
    </xf>
    <xf numFmtId="0" fontId="17" fillId="0" borderId="1" xfId="0" applyFont="1" applyBorder="1" applyAlignment="1">
      <alignment horizontal="center" vertical="center" wrapText="1"/>
    </xf>
    <xf numFmtId="0" fontId="17" fillId="0" borderId="0" xfId="0" applyFont="1" applyProtection="1">
      <protection locked="0"/>
    </xf>
    <xf numFmtId="0" fontId="3" fillId="0" borderId="1" xfId="0" applyFont="1" applyBorder="1"/>
    <xf numFmtId="0" fontId="0" fillId="0" borderId="1" xfId="0" applyBorder="1"/>
    <xf numFmtId="0" fontId="3" fillId="7" borderId="1" xfId="0" applyFont="1" applyFill="1" applyBorder="1"/>
    <xf numFmtId="0" fontId="3" fillId="13" borderId="1" xfId="0" applyFont="1" applyFill="1" applyBorder="1"/>
    <xf numFmtId="0" fontId="3" fillId="14" borderId="1" xfId="0" applyFont="1" applyFill="1" applyBorder="1"/>
    <xf numFmtId="0" fontId="3" fillId="15" borderId="1" xfId="0" applyFont="1" applyFill="1" applyBorder="1"/>
    <xf numFmtId="0" fontId="3" fillId="5" borderId="1" xfId="0" applyFont="1" applyFill="1" applyBorder="1"/>
    <xf numFmtId="0" fontId="3" fillId="0" borderId="7" xfId="0" applyFont="1" applyBorder="1"/>
    <xf numFmtId="0" fontId="3" fillId="0" borderId="6" xfId="0" applyFont="1" applyBorder="1"/>
    <xf numFmtId="0" fontId="3" fillId="0" borderId="2" xfId="0" applyFont="1" applyBorder="1"/>
    <xf numFmtId="0" fontId="3" fillId="0" borderId="3" xfId="0" applyFont="1" applyBorder="1"/>
    <xf numFmtId="0" fontId="3" fillId="0" borderId="8" xfId="0" applyFont="1" applyBorder="1"/>
    <xf numFmtId="0" fontId="18" fillId="0" borderId="1" xfId="1" applyBorder="1"/>
    <xf numFmtId="0" fontId="1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6" fillId="11" borderId="1" xfId="0" applyFont="1" applyFill="1" applyBorder="1" applyAlignment="1">
      <alignment horizontal="left" vertical="top" wrapText="1"/>
    </xf>
    <xf numFmtId="0" fontId="6" fillId="12" borderId="1" xfId="0" applyFont="1" applyFill="1" applyBorder="1" applyAlignment="1">
      <alignment horizontal="left" vertical="top" wrapText="1"/>
    </xf>
    <xf numFmtId="0" fontId="3" fillId="0" borderId="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1" fillId="2"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19" fillId="16" borderId="9" xfId="0" applyFont="1" applyFill="1" applyBorder="1" applyAlignment="1"/>
    <xf numFmtId="0" fontId="19" fillId="16" borderId="10" xfId="0" applyFont="1" applyFill="1" applyBorder="1" applyAlignment="1"/>
    <xf numFmtId="0" fontId="19" fillId="16" borderId="10" xfId="0" applyFont="1" applyFill="1" applyBorder="1" applyAlignment="1">
      <alignment wrapText="1"/>
    </xf>
    <xf numFmtId="0" fontId="19" fillId="16" borderId="11" xfId="0" applyFont="1" applyFill="1" applyBorder="1" applyAlignment="1">
      <alignment wrapText="1"/>
    </xf>
    <xf numFmtId="0" fontId="6" fillId="0" borderId="12" xfId="0" applyFont="1" applyFill="1" applyBorder="1" applyAlignment="1"/>
    <xf numFmtId="0" fontId="6" fillId="0" borderId="2" xfId="0" applyFont="1" applyFill="1" applyBorder="1" applyAlignment="1"/>
    <xf numFmtId="0" fontId="6" fillId="0" borderId="13" xfId="0" applyFont="1" applyFill="1" applyBorder="1" applyAlignment="1"/>
    <xf numFmtId="0" fontId="3" fillId="0" borderId="2" xfId="0" applyFont="1" applyFill="1" applyBorder="1" applyAlignment="1"/>
    <xf numFmtId="0" fontId="3" fillId="0" borderId="0" xfId="0" applyFont="1" applyFill="1" applyBorder="1" applyAlignment="1"/>
    <xf numFmtId="0" fontId="3" fillId="0" borderId="6" xfId="0" applyFont="1" applyFill="1" applyBorder="1" applyAlignment="1"/>
    <xf numFmtId="0" fontId="3" fillId="0" borderId="13" xfId="0" applyFont="1" applyFill="1" applyBorder="1" applyAlignment="1"/>
    <xf numFmtId="0" fontId="3" fillId="0" borderId="7" xfId="0" applyFont="1" applyFill="1" applyBorder="1" applyAlignment="1"/>
    <xf numFmtId="0" fontId="3" fillId="0" borderId="2" xfId="0" applyFont="1" applyFill="1" applyBorder="1" applyAlignment="1">
      <alignment wrapText="1"/>
    </xf>
    <xf numFmtId="0" fontId="6" fillId="0" borderId="14" xfId="0" applyFont="1" applyFill="1" applyBorder="1" applyAlignment="1"/>
    <xf numFmtId="0" fontId="6" fillId="0" borderId="15" xfId="0" applyFont="1" applyFill="1" applyBorder="1" applyAlignment="1"/>
    <xf numFmtId="0" fontId="6" fillId="0" borderId="16" xfId="0" applyFont="1" applyFill="1" applyBorder="1" applyAlignment="1"/>
    <xf numFmtId="0" fontId="6" fillId="0" borderId="0" xfId="0" applyFont="1" applyFill="1" applyBorder="1" applyAlignment="1"/>
    <xf numFmtId="0" fontId="3" fillId="0" borderId="0" xfId="0" applyFont="1" applyFill="1" applyBorder="1" applyAlignment="1">
      <alignment wrapText="1"/>
    </xf>
    <xf numFmtId="0" fontId="3" fillId="0" borderId="0" xfId="0" applyFont="1" applyFill="1" applyBorder="1" applyAlignment="1">
      <alignment wrapText="1"/>
    </xf>
  </cellXfs>
  <cellStyles count="2">
    <cellStyle name="Hyperlink" xfId="1" xr:uid="{00000000-000B-0000-0000-000008000000}"/>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otnet.microsoft.com/zh-tw/download/dotnet/8.0"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N111"/>
  <sheetViews>
    <sheetView zoomScale="80" zoomScaleNormal="80" workbookViewId="0">
      <pane ySplit="1" topLeftCell="A13" activePane="bottomLeft" state="frozen"/>
      <selection pane="bottomLeft" activeCell="D4" sqref="D4"/>
      <selection activeCell="D4" sqref="D4"/>
    </sheetView>
  </sheetViews>
  <sheetFormatPr defaultColWidth="9" defaultRowHeight="15.75"/>
  <cols>
    <col min="1" max="1" width="6.25" style="50" customWidth="1"/>
    <col min="2" max="2" width="15" style="50" bestFit="1" customWidth="1"/>
    <col min="3" max="3" width="12.5" style="50" bestFit="1" customWidth="1"/>
    <col min="4" max="4" width="37.875" style="50" customWidth="1"/>
    <col min="5" max="5" width="29" style="50" customWidth="1"/>
    <col min="6" max="7" width="9.25" style="50" bestFit="1" customWidth="1"/>
    <col min="8" max="8" width="16.625" style="50" customWidth="1"/>
    <col min="9" max="11" width="5.625" style="50" customWidth="1"/>
    <col min="12" max="12" width="9.75" style="50" customWidth="1"/>
    <col min="13" max="13" width="11.25" style="42" customWidth="1"/>
    <col min="14" max="15" width="0" style="43" hidden="1" customWidth="1"/>
    <col min="16" max="16384" width="9" style="43"/>
  </cols>
  <sheetData>
    <row r="1" spans="1:14" ht="36.75" customHeight="1">
      <c r="A1" s="41" t="s">
        <v>0</v>
      </c>
      <c r="B1" s="41" t="s">
        <v>1</v>
      </c>
      <c r="C1" s="41" t="s">
        <v>2</v>
      </c>
      <c r="D1" s="41" t="s">
        <v>3</v>
      </c>
      <c r="E1" s="41" t="s">
        <v>4</v>
      </c>
      <c r="F1" s="41" t="s">
        <v>5</v>
      </c>
      <c r="G1" s="41" t="s">
        <v>6</v>
      </c>
      <c r="H1" s="41" t="s">
        <v>7</v>
      </c>
      <c r="I1" s="74" t="s">
        <v>8</v>
      </c>
      <c r="J1" s="74"/>
      <c r="K1" s="74"/>
      <c r="L1" s="41" t="s">
        <v>9</v>
      </c>
    </row>
    <row r="2" spans="1:14" ht="32.25" hidden="1" customHeight="1">
      <c r="A2" s="44" t="s">
        <v>10</v>
      </c>
      <c r="B2" s="45" t="s">
        <v>11</v>
      </c>
      <c r="C2" s="45" t="s">
        <v>12</v>
      </c>
      <c r="D2" s="45" t="s">
        <v>13</v>
      </c>
      <c r="E2" s="45" t="s">
        <v>13</v>
      </c>
      <c r="F2" s="44" t="s">
        <v>14</v>
      </c>
      <c r="G2" s="44" t="s">
        <v>14</v>
      </c>
      <c r="H2" s="44" t="s">
        <v>15</v>
      </c>
      <c r="I2" s="44">
        <v>4</v>
      </c>
      <c r="J2" s="44">
        <v>2</v>
      </c>
      <c r="K2" s="44">
        <v>2</v>
      </c>
      <c r="L2" s="46">
        <f>SUM(I2:K2)</f>
        <v>8</v>
      </c>
      <c r="N2" s="43" t="b">
        <f>OR(IF(I2=4,1,0),IF(J2=4,1,0),IF(K2=4,1,0))</f>
        <v>1</v>
      </c>
    </row>
    <row r="3" spans="1:14" ht="32.25" hidden="1" customHeight="1">
      <c r="A3" s="44" t="s">
        <v>10</v>
      </c>
      <c r="B3" s="45" t="s">
        <v>11</v>
      </c>
      <c r="C3" s="45" t="s">
        <v>16</v>
      </c>
      <c r="D3" s="45" t="s">
        <v>17</v>
      </c>
      <c r="E3" s="45" t="s">
        <v>18</v>
      </c>
      <c r="F3" s="44" t="s">
        <v>14</v>
      </c>
      <c r="G3" s="44" t="s">
        <v>14</v>
      </c>
      <c r="H3" s="44" t="s">
        <v>15</v>
      </c>
      <c r="I3" s="47">
        <v>1</v>
      </c>
      <c r="J3" s="47">
        <v>3</v>
      </c>
      <c r="K3" s="47">
        <v>3</v>
      </c>
      <c r="L3" s="46">
        <f t="shared" ref="L3:L78" si="0">SUM(I3:K3)</f>
        <v>7</v>
      </c>
      <c r="N3" s="43" t="b">
        <f t="shared" ref="N3:N66" si="1">OR(IF(I3=4,1,0),IF(J3=4,1,0),IF(K3=4,1,0))</f>
        <v>0</v>
      </c>
    </row>
    <row r="4" spans="1:14" ht="32.25" hidden="1" customHeight="1">
      <c r="A4" s="44" t="s">
        <v>10</v>
      </c>
      <c r="B4" s="45" t="s">
        <v>11</v>
      </c>
      <c r="C4" s="45" t="s">
        <v>19</v>
      </c>
      <c r="D4" s="45" t="s">
        <v>20</v>
      </c>
      <c r="E4" s="45" t="s">
        <v>20</v>
      </c>
      <c r="F4" s="44" t="s">
        <v>14</v>
      </c>
      <c r="G4" s="44" t="s">
        <v>14</v>
      </c>
      <c r="H4" s="44" t="s">
        <v>15</v>
      </c>
      <c r="I4" s="44">
        <v>3</v>
      </c>
      <c r="J4" s="44">
        <v>3</v>
      </c>
      <c r="K4" s="44">
        <v>3</v>
      </c>
      <c r="L4" s="46">
        <f t="shared" si="0"/>
        <v>9</v>
      </c>
      <c r="N4" s="43" t="b">
        <f t="shared" si="1"/>
        <v>0</v>
      </c>
    </row>
    <row r="5" spans="1:14" ht="32.25" hidden="1" customHeight="1">
      <c r="A5" s="44" t="s">
        <v>10</v>
      </c>
      <c r="B5" s="45" t="s">
        <v>11</v>
      </c>
      <c r="C5" s="45" t="s">
        <v>21</v>
      </c>
      <c r="D5" s="45" t="s">
        <v>22</v>
      </c>
      <c r="E5" s="45" t="s">
        <v>23</v>
      </c>
      <c r="F5" s="44" t="s">
        <v>14</v>
      </c>
      <c r="G5" s="44" t="s">
        <v>14</v>
      </c>
      <c r="H5" s="44" t="s">
        <v>15</v>
      </c>
      <c r="I5" s="44">
        <v>3</v>
      </c>
      <c r="J5" s="44">
        <v>2</v>
      </c>
      <c r="K5" s="44">
        <v>2</v>
      </c>
      <c r="L5" s="46">
        <f t="shared" si="0"/>
        <v>7</v>
      </c>
      <c r="N5" s="43" t="b">
        <f t="shared" si="1"/>
        <v>0</v>
      </c>
    </row>
    <row r="6" spans="1:14" ht="32.25" hidden="1" customHeight="1">
      <c r="A6" s="44" t="s">
        <v>10</v>
      </c>
      <c r="B6" s="45" t="s">
        <v>11</v>
      </c>
      <c r="C6" s="45" t="s">
        <v>24</v>
      </c>
      <c r="D6" s="45" t="s">
        <v>25</v>
      </c>
      <c r="E6" s="45" t="s">
        <v>26</v>
      </c>
      <c r="F6" s="44" t="s">
        <v>14</v>
      </c>
      <c r="G6" s="44" t="s">
        <v>14</v>
      </c>
      <c r="H6" s="44" t="s">
        <v>15</v>
      </c>
      <c r="I6" s="44">
        <v>4</v>
      </c>
      <c r="J6" s="44">
        <v>3</v>
      </c>
      <c r="K6" s="44">
        <v>3</v>
      </c>
      <c r="L6" s="46">
        <f t="shared" si="0"/>
        <v>10</v>
      </c>
      <c r="N6" s="43" t="b">
        <f t="shared" si="1"/>
        <v>1</v>
      </c>
    </row>
    <row r="7" spans="1:14" ht="32.25" hidden="1" customHeight="1">
      <c r="A7" s="44" t="s">
        <v>10</v>
      </c>
      <c r="B7" s="45" t="s">
        <v>11</v>
      </c>
      <c r="C7" s="45" t="s">
        <v>27</v>
      </c>
      <c r="D7" s="45" t="s">
        <v>28</v>
      </c>
      <c r="E7" s="45" t="s">
        <v>29</v>
      </c>
      <c r="F7" s="44" t="s">
        <v>14</v>
      </c>
      <c r="G7" s="44" t="s">
        <v>14</v>
      </c>
      <c r="H7" s="44" t="s">
        <v>15</v>
      </c>
      <c r="I7" s="44">
        <v>2</v>
      </c>
      <c r="J7" s="44">
        <v>3</v>
      </c>
      <c r="K7" s="44">
        <v>3</v>
      </c>
      <c r="L7" s="46">
        <f t="shared" si="0"/>
        <v>8</v>
      </c>
      <c r="N7" s="43" t="b">
        <f t="shared" si="1"/>
        <v>0</v>
      </c>
    </row>
    <row r="8" spans="1:14" ht="32.25" hidden="1" customHeight="1">
      <c r="A8" s="44" t="s">
        <v>10</v>
      </c>
      <c r="B8" s="45" t="s">
        <v>11</v>
      </c>
      <c r="C8" s="45" t="s">
        <v>30</v>
      </c>
      <c r="D8" s="45" t="s">
        <v>31</v>
      </c>
      <c r="E8" s="45" t="s">
        <v>32</v>
      </c>
      <c r="F8" s="44" t="s">
        <v>14</v>
      </c>
      <c r="G8" s="44" t="s">
        <v>14</v>
      </c>
      <c r="H8" s="44" t="s">
        <v>15</v>
      </c>
      <c r="I8" s="44">
        <v>2</v>
      </c>
      <c r="J8" s="44">
        <v>3</v>
      </c>
      <c r="K8" s="44">
        <v>3</v>
      </c>
      <c r="L8" s="46">
        <f t="shared" si="0"/>
        <v>8</v>
      </c>
      <c r="N8" s="43" t="b">
        <f t="shared" si="1"/>
        <v>0</v>
      </c>
    </row>
    <row r="9" spans="1:14" ht="32.25" hidden="1" customHeight="1">
      <c r="A9" s="44" t="s">
        <v>10</v>
      </c>
      <c r="B9" s="45" t="s">
        <v>11</v>
      </c>
      <c r="C9" s="45" t="s">
        <v>33</v>
      </c>
      <c r="D9" s="45" t="s">
        <v>34</v>
      </c>
      <c r="E9" s="45" t="s">
        <v>34</v>
      </c>
      <c r="F9" s="44" t="s">
        <v>14</v>
      </c>
      <c r="G9" s="44" t="s">
        <v>14</v>
      </c>
      <c r="H9" s="44" t="s">
        <v>15</v>
      </c>
      <c r="I9" s="44">
        <v>2</v>
      </c>
      <c r="J9" s="44">
        <v>1</v>
      </c>
      <c r="K9" s="44">
        <v>1</v>
      </c>
      <c r="L9" s="46">
        <f t="shared" si="0"/>
        <v>4</v>
      </c>
      <c r="N9" s="43" t="b">
        <f t="shared" si="1"/>
        <v>0</v>
      </c>
    </row>
    <row r="10" spans="1:14" hidden="1">
      <c r="A10" s="44" t="s">
        <v>10</v>
      </c>
      <c r="B10" s="45" t="s">
        <v>11</v>
      </c>
      <c r="C10" s="48" t="s">
        <v>35</v>
      </c>
      <c r="D10" s="45" t="s">
        <v>36</v>
      </c>
      <c r="E10" s="45" t="s">
        <v>37</v>
      </c>
      <c r="F10" s="44" t="s">
        <v>14</v>
      </c>
      <c r="G10" s="44" t="s">
        <v>38</v>
      </c>
      <c r="H10" s="44" t="s">
        <v>15</v>
      </c>
      <c r="I10" s="44">
        <v>2</v>
      </c>
      <c r="J10" s="44">
        <v>2</v>
      </c>
      <c r="K10" s="44">
        <v>2</v>
      </c>
      <c r="L10" s="46">
        <f t="shared" si="0"/>
        <v>6</v>
      </c>
      <c r="N10" s="43" t="b">
        <f t="shared" si="1"/>
        <v>0</v>
      </c>
    </row>
    <row r="11" spans="1:14" hidden="1">
      <c r="A11" s="44" t="s">
        <v>10</v>
      </c>
      <c r="B11" s="45" t="s">
        <v>11</v>
      </c>
      <c r="C11" s="45" t="s">
        <v>39</v>
      </c>
      <c r="D11" s="45" t="s">
        <v>40</v>
      </c>
      <c r="E11" s="45" t="s">
        <v>41</v>
      </c>
      <c r="F11" s="44" t="s">
        <v>14</v>
      </c>
      <c r="G11" s="44" t="s">
        <v>38</v>
      </c>
      <c r="H11" s="44" t="s">
        <v>15</v>
      </c>
      <c r="I11" s="44">
        <v>2</v>
      </c>
      <c r="J11" s="44">
        <v>2</v>
      </c>
      <c r="K11" s="44">
        <v>2</v>
      </c>
      <c r="L11" s="46">
        <f t="shared" si="0"/>
        <v>6</v>
      </c>
      <c r="N11" s="43" t="b">
        <f t="shared" si="1"/>
        <v>0</v>
      </c>
    </row>
    <row r="12" spans="1:14" hidden="1">
      <c r="A12" s="44" t="s">
        <v>10</v>
      </c>
      <c r="B12" s="45" t="s">
        <v>11</v>
      </c>
      <c r="C12" s="45" t="s">
        <v>42</v>
      </c>
      <c r="D12" s="45" t="s">
        <v>43</v>
      </c>
      <c r="E12" s="45" t="s">
        <v>44</v>
      </c>
      <c r="F12" s="44" t="s">
        <v>14</v>
      </c>
      <c r="G12" s="44" t="s">
        <v>45</v>
      </c>
      <c r="H12" s="44" t="s">
        <v>46</v>
      </c>
      <c r="I12" s="44">
        <v>4</v>
      </c>
      <c r="J12" s="44">
        <v>2</v>
      </c>
      <c r="K12" s="44">
        <v>2</v>
      </c>
      <c r="L12" s="46">
        <f t="shared" si="0"/>
        <v>8</v>
      </c>
      <c r="N12" s="43" t="b">
        <f t="shared" si="1"/>
        <v>1</v>
      </c>
    </row>
    <row r="13" spans="1:14">
      <c r="A13" s="44" t="s">
        <v>10</v>
      </c>
      <c r="B13" s="45" t="s">
        <v>47</v>
      </c>
      <c r="C13" s="45" t="s">
        <v>48</v>
      </c>
      <c r="D13" s="45" t="s">
        <v>49</v>
      </c>
      <c r="E13" s="45" t="s">
        <v>50</v>
      </c>
      <c r="F13" s="44" t="s">
        <v>14</v>
      </c>
      <c r="G13" s="44" t="s">
        <v>38</v>
      </c>
      <c r="H13" s="44" t="s">
        <v>51</v>
      </c>
      <c r="I13" s="44">
        <v>4</v>
      </c>
      <c r="J13" s="44">
        <v>4</v>
      </c>
      <c r="K13" s="44">
        <v>4</v>
      </c>
      <c r="L13" s="46">
        <f t="shared" si="0"/>
        <v>12</v>
      </c>
      <c r="N13" s="43" t="b">
        <f t="shared" si="1"/>
        <v>1</v>
      </c>
    </row>
    <row r="14" spans="1:14" ht="32.25" hidden="1" customHeight="1">
      <c r="A14" s="44" t="s">
        <v>10</v>
      </c>
      <c r="B14" s="45" t="s">
        <v>47</v>
      </c>
      <c r="C14" s="45" t="s">
        <v>52</v>
      </c>
      <c r="D14" s="45" t="s">
        <v>53</v>
      </c>
      <c r="E14" s="45" t="s">
        <v>53</v>
      </c>
      <c r="F14" s="44" t="s">
        <v>14</v>
      </c>
      <c r="G14" s="44" t="s">
        <v>14</v>
      </c>
      <c r="H14" s="44" t="s">
        <v>51</v>
      </c>
      <c r="I14" s="44">
        <v>3</v>
      </c>
      <c r="J14" s="44">
        <v>3</v>
      </c>
      <c r="K14" s="44">
        <v>3</v>
      </c>
      <c r="L14" s="46">
        <f t="shared" si="0"/>
        <v>9</v>
      </c>
      <c r="N14" s="43" t="b">
        <f t="shared" si="1"/>
        <v>0</v>
      </c>
    </row>
    <row r="15" spans="1:14" ht="32.25" hidden="1" customHeight="1">
      <c r="A15" s="44" t="s">
        <v>10</v>
      </c>
      <c r="B15" s="45" t="s">
        <v>47</v>
      </c>
      <c r="C15" s="45" t="s">
        <v>54</v>
      </c>
      <c r="D15" s="45" t="s">
        <v>55</v>
      </c>
      <c r="E15" s="45" t="s">
        <v>56</v>
      </c>
      <c r="F15" s="44" t="s">
        <v>14</v>
      </c>
      <c r="G15" s="44" t="s">
        <v>14</v>
      </c>
      <c r="H15" s="44" t="s">
        <v>51</v>
      </c>
      <c r="I15" s="44">
        <v>3</v>
      </c>
      <c r="J15" s="44">
        <v>3</v>
      </c>
      <c r="K15" s="44">
        <v>3</v>
      </c>
      <c r="L15" s="46">
        <f t="shared" si="0"/>
        <v>9</v>
      </c>
      <c r="N15" s="43" t="b">
        <f t="shared" si="1"/>
        <v>0</v>
      </c>
    </row>
    <row r="16" spans="1:14" ht="32.25" customHeight="1">
      <c r="A16" s="44" t="s">
        <v>10</v>
      </c>
      <c r="B16" s="45" t="s">
        <v>47</v>
      </c>
      <c r="C16" s="45" t="s">
        <v>57</v>
      </c>
      <c r="D16" s="45" t="s">
        <v>58</v>
      </c>
      <c r="E16" s="45" t="s">
        <v>59</v>
      </c>
      <c r="F16" s="44" t="s">
        <v>14</v>
      </c>
      <c r="G16" s="44" t="s">
        <v>14</v>
      </c>
      <c r="H16" s="44" t="s">
        <v>51</v>
      </c>
      <c r="I16" s="44">
        <v>4</v>
      </c>
      <c r="J16" s="44">
        <v>4</v>
      </c>
      <c r="K16" s="44">
        <v>4</v>
      </c>
      <c r="L16" s="46">
        <f t="shared" si="0"/>
        <v>12</v>
      </c>
      <c r="N16" s="43" t="b">
        <f t="shared" si="1"/>
        <v>1</v>
      </c>
    </row>
    <row r="17" spans="1:14" ht="32.25" hidden="1" customHeight="1">
      <c r="A17" s="44" t="s">
        <v>10</v>
      </c>
      <c r="B17" s="45" t="s">
        <v>47</v>
      </c>
      <c r="C17" s="45" t="s">
        <v>60</v>
      </c>
      <c r="D17" s="45" t="s">
        <v>61</v>
      </c>
      <c r="E17" s="45" t="s">
        <v>62</v>
      </c>
      <c r="F17" s="44" t="s">
        <v>14</v>
      </c>
      <c r="G17" s="44" t="s">
        <v>38</v>
      </c>
      <c r="H17" s="44" t="s">
        <v>51</v>
      </c>
      <c r="I17" s="44">
        <v>2</v>
      </c>
      <c r="J17" s="44">
        <v>2</v>
      </c>
      <c r="K17" s="44">
        <v>2</v>
      </c>
      <c r="L17" s="46">
        <f t="shared" si="0"/>
        <v>6</v>
      </c>
      <c r="N17" s="43" t="b">
        <f t="shared" si="1"/>
        <v>0</v>
      </c>
    </row>
    <row r="18" spans="1:14" ht="32.25" customHeight="1">
      <c r="A18" s="44" t="s">
        <v>10</v>
      </c>
      <c r="B18" s="45" t="s">
        <v>47</v>
      </c>
      <c r="C18" s="45" t="s">
        <v>63</v>
      </c>
      <c r="D18" s="45" t="s">
        <v>64</v>
      </c>
      <c r="E18" s="45" t="s">
        <v>65</v>
      </c>
      <c r="F18" s="44" t="s">
        <v>14</v>
      </c>
      <c r="G18" s="44" t="s">
        <v>38</v>
      </c>
      <c r="H18" s="44" t="s">
        <v>51</v>
      </c>
      <c r="I18" s="44">
        <v>4</v>
      </c>
      <c r="J18" s="44">
        <v>4</v>
      </c>
      <c r="K18" s="44">
        <v>4</v>
      </c>
      <c r="L18" s="46">
        <f t="shared" si="0"/>
        <v>12</v>
      </c>
      <c r="N18" s="43" t="b">
        <f t="shared" si="1"/>
        <v>1</v>
      </c>
    </row>
    <row r="19" spans="1:14" ht="32.25" customHeight="1">
      <c r="A19" s="44" t="s">
        <v>10</v>
      </c>
      <c r="B19" s="45" t="s">
        <v>47</v>
      </c>
      <c r="C19" s="45" t="s">
        <v>66</v>
      </c>
      <c r="D19" s="45" t="s">
        <v>67</v>
      </c>
      <c r="E19" s="45" t="s">
        <v>68</v>
      </c>
      <c r="F19" s="44" t="s">
        <v>14</v>
      </c>
      <c r="G19" s="44" t="s">
        <v>38</v>
      </c>
      <c r="H19" s="44" t="s">
        <v>51</v>
      </c>
      <c r="I19" s="44">
        <v>4</v>
      </c>
      <c r="J19" s="44">
        <v>4</v>
      </c>
      <c r="K19" s="44">
        <v>4</v>
      </c>
      <c r="L19" s="46">
        <f t="shared" si="0"/>
        <v>12</v>
      </c>
      <c r="N19" s="43" t="b">
        <f t="shared" si="1"/>
        <v>1</v>
      </c>
    </row>
    <row r="20" spans="1:14" ht="32.25" customHeight="1">
      <c r="A20" s="44" t="s">
        <v>10</v>
      </c>
      <c r="B20" s="45" t="s">
        <v>47</v>
      </c>
      <c r="C20" s="45" t="s">
        <v>69</v>
      </c>
      <c r="D20" s="45" t="s">
        <v>70</v>
      </c>
      <c r="E20" s="45" t="s">
        <v>71</v>
      </c>
      <c r="F20" s="44" t="s">
        <v>14</v>
      </c>
      <c r="G20" s="44" t="s">
        <v>14</v>
      </c>
      <c r="H20" s="44" t="s">
        <v>51</v>
      </c>
      <c r="I20" s="44">
        <v>3</v>
      </c>
      <c r="J20" s="44">
        <v>4</v>
      </c>
      <c r="K20" s="44">
        <v>3</v>
      </c>
      <c r="L20" s="46">
        <f t="shared" si="0"/>
        <v>10</v>
      </c>
      <c r="N20" s="43" t="b">
        <f t="shared" si="1"/>
        <v>1</v>
      </c>
    </row>
    <row r="21" spans="1:14" ht="32.25" hidden="1" customHeight="1">
      <c r="A21" s="44" t="s">
        <v>10</v>
      </c>
      <c r="B21" s="45" t="s">
        <v>47</v>
      </c>
      <c r="C21" s="45" t="s">
        <v>72</v>
      </c>
      <c r="D21" s="45" t="s">
        <v>73</v>
      </c>
      <c r="E21" s="45" t="s">
        <v>74</v>
      </c>
      <c r="F21" s="44" t="s">
        <v>14</v>
      </c>
      <c r="G21" s="44" t="s">
        <v>14</v>
      </c>
      <c r="H21" s="44" t="s">
        <v>51</v>
      </c>
      <c r="I21" s="44">
        <v>3</v>
      </c>
      <c r="J21" s="44">
        <v>4</v>
      </c>
      <c r="K21" s="44">
        <v>2</v>
      </c>
      <c r="L21" s="46">
        <f t="shared" si="0"/>
        <v>9</v>
      </c>
      <c r="N21" s="43" t="b">
        <f t="shared" si="1"/>
        <v>1</v>
      </c>
    </row>
    <row r="22" spans="1:14" ht="32.25" customHeight="1">
      <c r="A22" s="44" t="s">
        <v>10</v>
      </c>
      <c r="B22" s="45" t="s">
        <v>47</v>
      </c>
      <c r="C22" s="45" t="s">
        <v>75</v>
      </c>
      <c r="D22" s="45" t="s">
        <v>76</v>
      </c>
      <c r="E22" s="45" t="s">
        <v>77</v>
      </c>
      <c r="F22" s="44" t="s">
        <v>14</v>
      </c>
      <c r="G22" s="44" t="s">
        <v>14</v>
      </c>
      <c r="H22" s="44" t="s">
        <v>51</v>
      </c>
      <c r="I22" s="44">
        <v>4</v>
      </c>
      <c r="J22" s="44">
        <v>4</v>
      </c>
      <c r="K22" s="44">
        <v>3</v>
      </c>
      <c r="L22" s="46">
        <f t="shared" si="0"/>
        <v>11</v>
      </c>
      <c r="N22" s="43" t="b">
        <f t="shared" si="1"/>
        <v>1</v>
      </c>
    </row>
    <row r="23" spans="1:14" ht="32.25" customHeight="1">
      <c r="A23" s="44" t="s">
        <v>78</v>
      </c>
      <c r="B23" s="45" t="s">
        <v>79</v>
      </c>
      <c r="C23" s="45" t="s">
        <v>80</v>
      </c>
      <c r="D23" s="45" t="s">
        <v>81</v>
      </c>
      <c r="E23" s="45" t="s">
        <v>82</v>
      </c>
      <c r="F23" s="44" t="s">
        <v>14</v>
      </c>
      <c r="G23" s="44" t="s">
        <v>38</v>
      </c>
      <c r="H23" s="44" t="s">
        <v>51</v>
      </c>
      <c r="I23" s="44">
        <v>3</v>
      </c>
      <c r="J23" s="44">
        <v>4</v>
      </c>
      <c r="K23" s="44">
        <v>4</v>
      </c>
      <c r="L23" s="46">
        <f t="shared" si="0"/>
        <v>11</v>
      </c>
      <c r="N23" s="43" t="b">
        <f t="shared" si="1"/>
        <v>1</v>
      </c>
    </row>
    <row r="24" spans="1:14" ht="32.25" customHeight="1">
      <c r="A24" s="44" t="s">
        <v>78</v>
      </c>
      <c r="B24" s="45" t="s">
        <v>79</v>
      </c>
      <c r="C24" s="45" t="s">
        <v>83</v>
      </c>
      <c r="D24" s="45" t="s">
        <v>84</v>
      </c>
      <c r="E24" s="45" t="s">
        <v>85</v>
      </c>
      <c r="F24" s="44" t="s">
        <v>14</v>
      </c>
      <c r="G24" s="44" t="s">
        <v>38</v>
      </c>
      <c r="H24" s="44" t="s">
        <v>51</v>
      </c>
      <c r="I24" s="44">
        <v>4</v>
      </c>
      <c r="J24" s="44">
        <v>4</v>
      </c>
      <c r="K24" s="44">
        <v>4</v>
      </c>
      <c r="L24" s="46">
        <f t="shared" si="0"/>
        <v>12</v>
      </c>
      <c r="N24" s="43" t="b">
        <f t="shared" si="1"/>
        <v>1</v>
      </c>
    </row>
    <row r="25" spans="1:14" ht="32.25" customHeight="1">
      <c r="A25" s="44" t="s">
        <v>78</v>
      </c>
      <c r="B25" s="45" t="s">
        <v>79</v>
      </c>
      <c r="C25" s="45" t="s">
        <v>86</v>
      </c>
      <c r="D25" s="45" t="s">
        <v>87</v>
      </c>
      <c r="E25" s="45" t="s">
        <v>88</v>
      </c>
      <c r="F25" s="44" t="s">
        <v>14</v>
      </c>
      <c r="G25" s="44" t="s">
        <v>14</v>
      </c>
      <c r="H25" s="44" t="s">
        <v>51</v>
      </c>
      <c r="I25" s="44">
        <v>3</v>
      </c>
      <c r="J25" s="44">
        <v>4</v>
      </c>
      <c r="K25" s="44">
        <v>4</v>
      </c>
      <c r="L25" s="46">
        <f t="shared" si="0"/>
        <v>11</v>
      </c>
      <c r="N25" s="43" t="b">
        <f t="shared" si="1"/>
        <v>1</v>
      </c>
    </row>
    <row r="26" spans="1:14" ht="32.25" hidden="1" customHeight="1">
      <c r="A26" s="44" t="s">
        <v>78</v>
      </c>
      <c r="B26" s="45" t="s">
        <v>79</v>
      </c>
      <c r="C26" s="45" t="s">
        <v>89</v>
      </c>
      <c r="D26" s="45" t="s">
        <v>90</v>
      </c>
      <c r="E26" s="45" t="s">
        <v>91</v>
      </c>
      <c r="F26" s="44" t="s">
        <v>14</v>
      </c>
      <c r="G26" s="44" t="s">
        <v>14</v>
      </c>
      <c r="H26" s="44" t="s">
        <v>51</v>
      </c>
      <c r="I26" s="44">
        <v>1</v>
      </c>
      <c r="J26" s="44">
        <v>2</v>
      </c>
      <c r="K26" s="44">
        <v>2</v>
      </c>
      <c r="L26" s="46">
        <f t="shared" si="0"/>
        <v>5</v>
      </c>
      <c r="N26" s="43" t="b">
        <f t="shared" si="1"/>
        <v>0</v>
      </c>
    </row>
    <row r="27" spans="1:14" ht="32.25" hidden="1" customHeight="1">
      <c r="A27" s="44" t="s">
        <v>78</v>
      </c>
      <c r="B27" s="45" t="s">
        <v>79</v>
      </c>
      <c r="C27" s="45" t="s">
        <v>92</v>
      </c>
      <c r="D27" s="45" t="s">
        <v>93</v>
      </c>
      <c r="E27" s="45" t="s">
        <v>94</v>
      </c>
      <c r="F27" s="44" t="s">
        <v>14</v>
      </c>
      <c r="G27" s="44" t="s">
        <v>14</v>
      </c>
      <c r="H27" s="44" t="s">
        <v>51</v>
      </c>
      <c r="I27" s="44">
        <v>1</v>
      </c>
      <c r="J27" s="44">
        <v>3</v>
      </c>
      <c r="K27" s="44">
        <v>3</v>
      </c>
      <c r="L27" s="46">
        <f t="shared" si="0"/>
        <v>7</v>
      </c>
      <c r="N27" s="43" t="b">
        <f t="shared" si="1"/>
        <v>0</v>
      </c>
    </row>
    <row r="28" spans="1:14" ht="32.25" hidden="1" customHeight="1">
      <c r="A28" s="44" t="s">
        <v>78</v>
      </c>
      <c r="B28" s="45" t="s">
        <v>79</v>
      </c>
      <c r="C28" s="45" t="s">
        <v>95</v>
      </c>
      <c r="D28" s="45" t="s">
        <v>96</v>
      </c>
      <c r="E28" s="45" t="s">
        <v>97</v>
      </c>
      <c r="F28" s="44" t="s">
        <v>14</v>
      </c>
      <c r="G28" s="44" t="s">
        <v>14</v>
      </c>
      <c r="H28" s="44" t="s">
        <v>51</v>
      </c>
      <c r="I28" s="44">
        <v>2</v>
      </c>
      <c r="J28" s="44">
        <v>3</v>
      </c>
      <c r="K28" s="44">
        <v>3</v>
      </c>
      <c r="L28" s="46">
        <f t="shared" si="0"/>
        <v>8</v>
      </c>
      <c r="N28" s="43" t="b">
        <f t="shared" si="1"/>
        <v>0</v>
      </c>
    </row>
    <row r="29" spans="1:14" ht="31.5" hidden="1">
      <c r="A29" s="44" t="s">
        <v>78</v>
      </c>
      <c r="B29" s="45" t="s">
        <v>79</v>
      </c>
      <c r="C29" s="45" t="s">
        <v>98</v>
      </c>
      <c r="D29" s="45" t="s">
        <v>99</v>
      </c>
      <c r="E29" s="45" t="s">
        <v>100</v>
      </c>
      <c r="F29" s="44" t="s">
        <v>14</v>
      </c>
      <c r="G29" s="44" t="s">
        <v>14</v>
      </c>
      <c r="H29" s="44" t="s">
        <v>51</v>
      </c>
      <c r="I29" s="44">
        <v>1</v>
      </c>
      <c r="J29" s="44">
        <v>3</v>
      </c>
      <c r="K29" s="44">
        <v>3</v>
      </c>
      <c r="L29" s="46">
        <f t="shared" si="0"/>
        <v>7</v>
      </c>
      <c r="N29" s="43" t="b">
        <f t="shared" si="1"/>
        <v>0</v>
      </c>
    </row>
    <row r="30" spans="1:14" ht="32.25" hidden="1" customHeight="1">
      <c r="A30" s="44" t="s">
        <v>78</v>
      </c>
      <c r="B30" s="45" t="s">
        <v>79</v>
      </c>
      <c r="C30" s="45" t="s">
        <v>101</v>
      </c>
      <c r="D30" s="45" t="s">
        <v>102</v>
      </c>
      <c r="E30" s="45" t="s">
        <v>103</v>
      </c>
      <c r="F30" s="44" t="s">
        <v>14</v>
      </c>
      <c r="G30" s="44" t="s">
        <v>14</v>
      </c>
      <c r="H30" s="44" t="s">
        <v>51</v>
      </c>
      <c r="I30" s="44">
        <v>1</v>
      </c>
      <c r="J30" s="44">
        <v>3</v>
      </c>
      <c r="K30" s="44">
        <v>3</v>
      </c>
      <c r="L30" s="46">
        <f t="shared" si="0"/>
        <v>7</v>
      </c>
      <c r="N30" s="43" t="b">
        <f t="shared" si="1"/>
        <v>0</v>
      </c>
    </row>
    <row r="31" spans="1:14" hidden="1">
      <c r="A31" s="44" t="s">
        <v>104</v>
      </c>
      <c r="B31" s="45" t="s">
        <v>105</v>
      </c>
      <c r="C31" s="45" t="s">
        <v>106</v>
      </c>
      <c r="D31" s="45" t="s">
        <v>107</v>
      </c>
      <c r="E31" s="45" t="s">
        <v>108</v>
      </c>
      <c r="F31" s="44" t="s">
        <v>14</v>
      </c>
      <c r="G31" s="44" t="s">
        <v>14</v>
      </c>
      <c r="H31" s="44" t="s">
        <v>51</v>
      </c>
      <c r="I31" s="44">
        <v>2</v>
      </c>
      <c r="J31" s="44">
        <v>3</v>
      </c>
      <c r="K31" s="44">
        <v>4</v>
      </c>
      <c r="L31" s="46">
        <f t="shared" si="0"/>
        <v>9</v>
      </c>
      <c r="N31" s="43" t="b">
        <f t="shared" si="1"/>
        <v>1</v>
      </c>
    </row>
    <row r="32" spans="1:14" ht="32.25" hidden="1" customHeight="1">
      <c r="A32" s="44" t="s">
        <v>104</v>
      </c>
      <c r="B32" s="45" t="s">
        <v>105</v>
      </c>
      <c r="C32" s="45" t="s">
        <v>109</v>
      </c>
      <c r="D32" s="45" t="s">
        <v>110</v>
      </c>
      <c r="E32" s="45" t="s">
        <v>111</v>
      </c>
      <c r="F32" s="44" t="s">
        <v>14</v>
      </c>
      <c r="G32" s="44" t="s">
        <v>14</v>
      </c>
      <c r="H32" s="44" t="s">
        <v>51</v>
      </c>
      <c r="I32" s="44">
        <v>2</v>
      </c>
      <c r="J32" s="44">
        <v>3</v>
      </c>
      <c r="K32" s="44">
        <v>4</v>
      </c>
      <c r="L32" s="46">
        <f t="shared" si="0"/>
        <v>9</v>
      </c>
      <c r="N32" s="43" t="b">
        <f t="shared" si="1"/>
        <v>1</v>
      </c>
    </row>
    <row r="33" spans="1:14" ht="32.25" hidden="1" customHeight="1">
      <c r="A33" s="44" t="s">
        <v>104</v>
      </c>
      <c r="B33" s="45" t="s">
        <v>105</v>
      </c>
      <c r="C33" s="45" t="s">
        <v>112</v>
      </c>
      <c r="D33" s="45" t="s">
        <v>113</v>
      </c>
      <c r="E33" s="45" t="s">
        <v>114</v>
      </c>
      <c r="F33" s="44" t="s">
        <v>14</v>
      </c>
      <c r="G33" s="44" t="s">
        <v>14</v>
      </c>
      <c r="H33" s="44" t="s">
        <v>51</v>
      </c>
      <c r="I33" s="44">
        <v>2</v>
      </c>
      <c r="J33" s="44">
        <v>3</v>
      </c>
      <c r="K33" s="44">
        <v>4</v>
      </c>
      <c r="L33" s="46">
        <f t="shared" si="0"/>
        <v>9</v>
      </c>
      <c r="N33" s="43" t="b">
        <f t="shared" si="1"/>
        <v>1</v>
      </c>
    </row>
    <row r="34" spans="1:14" ht="32.25" hidden="1" customHeight="1">
      <c r="A34" s="44" t="s">
        <v>104</v>
      </c>
      <c r="B34" s="45" t="s">
        <v>105</v>
      </c>
      <c r="C34" s="45" t="s">
        <v>115</v>
      </c>
      <c r="D34" s="45" t="s">
        <v>110</v>
      </c>
      <c r="E34" s="45" t="s">
        <v>114</v>
      </c>
      <c r="F34" s="44" t="s">
        <v>14</v>
      </c>
      <c r="G34" s="44" t="s">
        <v>14</v>
      </c>
      <c r="H34" s="44" t="s">
        <v>51</v>
      </c>
      <c r="I34" s="44">
        <v>2</v>
      </c>
      <c r="J34" s="44">
        <v>3</v>
      </c>
      <c r="K34" s="44">
        <v>4</v>
      </c>
      <c r="L34" s="46">
        <f t="shared" si="0"/>
        <v>9</v>
      </c>
      <c r="N34" s="43" t="b">
        <f t="shared" si="1"/>
        <v>1</v>
      </c>
    </row>
    <row r="35" spans="1:14" ht="32.25" hidden="1" customHeight="1">
      <c r="A35" s="44" t="s">
        <v>104</v>
      </c>
      <c r="B35" s="45" t="s">
        <v>105</v>
      </c>
      <c r="C35" s="45" t="s">
        <v>116</v>
      </c>
      <c r="D35" s="45" t="s">
        <v>117</v>
      </c>
      <c r="E35" s="45" t="s">
        <v>118</v>
      </c>
      <c r="F35" s="44" t="s">
        <v>14</v>
      </c>
      <c r="G35" s="44" t="s">
        <v>14</v>
      </c>
      <c r="H35" s="44" t="s">
        <v>51</v>
      </c>
      <c r="I35" s="44">
        <v>2</v>
      </c>
      <c r="J35" s="44">
        <v>3</v>
      </c>
      <c r="K35" s="44">
        <v>4</v>
      </c>
      <c r="L35" s="46">
        <f t="shared" si="0"/>
        <v>9</v>
      </c>
      <c r="N35" s="43" t="b">
        <f t="shared" si="1"/>
        <v>1</v>
      </c>
    </row>
    <row r="36" spans="1:14" ht="32.25" hidden="1" customHeight="1">
      <c r="A36" s="44" t="s">
        <v>104</v>
      </c>
      <c r="B36" s="45" t="s">
        <v>105</v>
      </c>
      <c r="C36" s="45" t="s">
        <v>119</v>
      </c>
      <c r="D36" s="45" t="s">
        <v>120</v>
      </c>
      <c r="E36" s="45" t="s">
        <v>121</v>
      </c>
      <c r="F36" s="44" t="s">
        <v>14</v>
      </c>
      <c r="G36" s="44" t="s">
        <v>14</v>
      </c>
      <c r="H36" s="44" t="s">
        <v>51</v>
      </c>
      <c r="I36" s="44">
        <v>2</v>
      </c>
      <c r="J36" s="44">
        <v>3</v>
      </c>
      <c r="K36" s="44">
        <v>4</v>
      </c>
      <c r="L36" s="46">
        <f t="shared" si="0"/>
        <v>9</v>
      </c>
      <c r="N36" s="43" t="b">
        <f t="shared" si="1"/>
        <v>1</v>
      </c>
    </row>
    <row r="37" spans="1:14" ht="32.25" hidden="1" customHeight="1">
      <c r="A37" s="44" t="s">
        <v>104</v>
      </c>
      <c r="B37" s="45" t="s">
        <v>105</v>
      </c>
      <c r="C37" s="45" t="s">
        <v>122</v>
      </c>
      <c r="D37" s="45" t="s">
        <v>123</v>
      </c>
      <c r="E37" s="45" t="s">
        <v>124</v>
      </c>
      <c r="F37" s="44" t="s">
        <v>14</v>
      </c>
      <c r="G37" s="44" t="s">
        <v>14</v>
      </c>
      <c r="H37" s="44" t="s">
        <v>51</v>
      </c>
      <c r="I37" s="44">
        <v>2</v>
      </c>
      <c r="J37" s="44">
        <v>3</v>
      </c>
      <c r="K37" s="44">
        <v>3</v>
      </c>
      <c r="L37" s="46">
        <f t="shared" si="0"/>
        <v>8</v>
      </c>
      <c r="N37" s="43" t="b">
        <f t="shared" si="1"/>
        <v>0</v>
      </c>
    </row>
    <row r="38" spans="1:14" ht="32.25" hidden="1" customHeight="1">
      <c r="A38" s="44" t="s">
        <v>104</v>
      </c>
      <c r="B38" s="45" t="s">
        <v>105</v>
      </c>
      <c r="C38" s="45" t="s">
        <v>125</v>
      </c>
      <c r="D38" s="45" t="s">
        <v>126</v>
      </c>
      <c r="E38" s="45" t="s">
        <v>127</v>
      </c>
      <c r="F38" s="44" t="s">
        <v>14</v>
      </c>
      <c r="G38" s="44" t="s">
        <v>14</v>
      </c>
      <c r="H38" s="44" t="s">
        <v>51</v>
      </c>
      <c r="I38" s="44">
        <v>2</v>
      </c>
      <c r="J38" s="44">
        <v>3</v>
      </c>
      <c r="K38" s="44">
        <v>4</v>
      </c>
      <c r="L38" s="46">
        <f t="shared" si="0"/>
        <v>9</v>
      </c>
      <c r="N38" s="43" t="b">
        <f t="shared" si="1"/>
        <v>1</v>
      </c>
    </row>
    <row r="39" spans="1:14" ht="42" hidden="1" customHeight="1">
      <c r="A39" s="44" t="s">
        <v>104</v>
      </c>
      <c r="B39" s="45" t="s">
        <v>105</v>
      </c>
      <c r="C39" s="45" t="s">
        <v>128</v>
      </c>
      <c r="D39" s="45" t="s">
        <v>129</v>
      </c>
      <c r="E39" s="45" t="s">
        <v>130</v>
      </c>
      <c r="F39" s="44" t="s">
        <v>14</v>
      </c>
      <c r="G39" s="44" t="s">
        <v>14</v>
      </c>
      <c r="H39" s="44" t="s">
        <v>51</v>
      </c>
      <c r="I39" s="44">
        <v>2</v>
      </c>
      <c r="J39" s="44">
        <v>2</v>
      </c>
      <c r="K39" s="44">
        <v>2</v>
      </c>
      <c r="L39" s="46">
        <f t="shared" si="0"/>
        <v>6</v>
      </c>
      <c r="N39" s="43" t="b">
        <f t="shared" si="1"/>
        <v>0</v>
      </c>
    </row>
    <row r="40" spans="1:14" ht="32.25" hidden="1" customHeight="1">
      <c r="A40" s="44" t="s">
        <v>104</v>
      </c>
      <c r="B40" s="45" t="s">
        <v>105</v>
      </c>
      <c r="C40" s="45" t="s">
        <v>131</v>
      </c>
      <c r="D40" s="45" t="s">
        <v>132</v>
      </c>
      <c r="E40" s="45" t="s">
        <v>133</v>
      </c>
      <c r="F40" s="44" t="s">
        <v>14</v>
      </c>
      <c r="G40" s="44" t="s">
        <v>14</v>
      </c>
      <c r="H40" s="44" t="s">
        <v>51</v>
      </c>
      <c r="I40" s="44">
        <v>2</v>
      </c>
      <c r="J40" s="44">
        <v>3</v>
      </c>
      <c r="K40" s="44">
        <v>3</v>
      </c>
      <c r="L40" s="46">
        <f t="shared" si="0"/>
        <v>8</v>
      </c>
      <c r="N40" s="43" t="b">
        <f t="shared" si="1"/>
        <v>0</v>
      </c>
    </row>
    <row r="41" spans="1:14" ht="32.25" hidden="1" customHeight="1">
      <c r="A41" s="44" t="s">
        <v>104</v>
      </c>
      <c r="B41" s="45" t="s">
        <v>105</v>
      </c>
      <c r="C41" s="45" t="s">
        <v>134</v>
      </c>
      <c r="D41" s="45" t="s">
        <v>135</v>
      </c>
      <c r="E41" s="45" t="s">
        <v>136</v>
      </c>
      <c r="F41" s="44" t="s">
        <v>14</v>
      </c>
      <c r="G41" s="44" t="s">
        <v>14</v>
      </c>
      <c r="H41" s="44" t="s">
        <v>51</v>
      </c>
      <c r="I41" s="44">
        <v>2</v>
      </c>
      <c r="J41" s="44">
        <v>3</v>
      </c>
      <c r="K41" s="44">
        <v>4</v>
      </c>
      <c r="L41" s="46">
        <f t="shared" ref="L41" si="2">SUM(I41:K41)</f>
        <v>9</v>
      </c>
      <c r="N41" s="43" t="b">
        <f t="shared" si="1"/>
        <v>1</v>
      </c>
    </row>
    <row r="42" spans="1:14" ht="32.25" hidden="1" customHeight="1">
      <c r="A42" s="44" t="s">
        <v>104</v>
      </c>
      <c r="B42" s="45" t="s">
        <v>105</v>
      </c>
      <c r="C42" s="45" t="s">
        <v>137</v>
      </c>
      <c r="D42" s="45" t="s">
        <v>138</v>
      </c>
      <c r="E42" s="45" t="s">
        <v>136</v>
      </c>
      <c r="F42" s="44" t="s">
        <v>14</v>
      </c>
      <c r="G42" s="44" t="s">
        <v>14</v>
      </c>
      <c r="H42" s="44" t="s">
        <v>51</v>
      </c>
      <c r="I42" s="44">
        <v>2</v>
      </c>
      <c r="J42" s="44">
        <v>3</v>
      </c>
      <c r="K42" s="44">
        <v>4</v>
      </c>
      <c r="L42" s="46">
        <f t="shared" si="0"/>
        <v>9</v>
      </c>
      <c r="N42" s="43" t="b">
        <f t="shared" si="1"/>
        <v>1</v>
      </c>
    </row>
    <row r="43" spans="1:14" ht="32.25" hidden="1" customHeight="1">
      <c r="A43" s="44" t="s">
        <v>104</v>
      </c>
      <c r="B43" s="45" t="s">
        <v>105</v>
      </c>
      <c r="C43" s="45" t="s">
        <v>139</v>
      </c>
      <c r="D43" s="45" t="s">
        <v>140</v>
      </c>
      <c r="E43" s="45" t="s">
        <v>141</v>
      </c>
      <c r="F43" s="44" t="s">
        <v>14</v>
      </c>
      <c r="G43" s="44" t="s">
        <v>14</v>
      </c>
      <c r="H43" s="44" t="s">
        <v>51</v>
      </c>
      <c r="I43" s="44">
        <v>2</v>
      </c>
      <c r="J43" s="44">
        <v>3</v>
      </c>
      <c r="K43" s="44">
        <v>4</v>
      </c>
      <c r="L43" s="46">
        <f t="shared" si="0"/>
        <v>9</v>
      </c>
      <c r="M43" s="40"/>
      <c r="N43" s="43" t="b">
        <f t="shared" si="1"/>
        <v>1</v>
      </c>
    </row>
    <row r="44" spans="1:14" ht="32.25" hidden="1" customHeight="1">
      <c r="A44" s="44" t="s">
        <v>104</v>
      </c>
      <c r="B44" s="45" t="s">
        <v>105</v>
      </c>
      <c r="C44" s="45" t="s">
        <v>142</v>
      </c>
      <c r="D44" s="49" t="s">
        <v>143</v>
      </c>
      <c r="E44" s="49" t="s">
        <v>144</v>
      </c>
      <c r="F44" s="44" t="s">
        <v>14</v>
      </c>
      <c r="G44" s="44" t="s">
        <v>14</v>
      </c>
      <c r="H44" s="46" t="s">
        <v>51</v>
      </c>
      <c r="I44" s="44">
        <v>2</v>
      </c>
      <c r="J44" s="44">
        <v>3</v>
      </c>
      <c r="K44" s="44">
        <v>4</v>
      </c>
      <c r="L44" s="46">
        <f t="shared" ref="L44:L46" si="3">SUM(I44:K44)</f>
        <v>9</v>
      </c>
      <c r="N44" s="43" t="b">
        <f t="shared" si="1"/>
        <v>1</v>
      </c>
    </row>
    <row r="45" spans="1:14" ht="32.25" hidden="1" customHeight="1">
      <c r="A45" s="44" t="s">
        <v>104</v>
      </c>
      <c r="B45" s="45" t="s">
        <v>105</v>
      </c>
      <c r="C45" s="45" t="s">
        <v>145</v>
      </c>
      <c r="D45" s="49" t="s">
        <v>146</v>
      </c>
      <c r="E45" s="49" t="s">
        <v>147</v>
      </c>
      <c r="F45" s="44" t="s">
        <v>14</v>
      </c>
      <c r="G45" s="44" t="s">
        <v>14</v>
      </c>
      <c r="H45" s="46" t="s">
        <v>51</v>
      </c>
      <c r="I45" s="44">
        <v>2</v>
      </c>
      <c r="J45" s="44">
        <v>3</v>
      </c>
      <c r="K45" s="44">
        <v>4</v>
      </c>
      <c r="L45" s="46">
        <f t="shared" si="3"/>
        <v>9</v>
      </c>
      <c r="N45" s="43" t="b">
        <f t="shared" si="1"/>
        <v>1</v>
      </c>
    </row>
    <row r="46" spans="1:14" ht="32.25" hidden="1" customHeight="1">
      <c r="A46" s="44" t="s">
        <v>104</v>
      </c>
      <c r="B46" s="45" t="s">
        <v>105</v>
      </c>
      <c r="C46" s="45" t="s">
        <v>148</v>
      </c>
      <c r="D46" s="49" t="s">
        <v>149</v>
      </c>
      <c r="E46" s="49" t="s">
        <v>150</v>
      </c>
      <c r="F46" s="44" t="s">
        <v>151</v>
      </c>
      <c r="G46" s="44" t="s">
        <v>152</v>
      </c>
      <c r="H46" s="46" t="s">
        <v>15</v>
      </c>
      <c r="I46" s="44">
        <v>2</v>
      </c>
      <c r="J46" s="44">
        <v>3</v>
      </c>
      <c r="K46" s="44">
        <v>3</v>
      </c>
      <c r="L46" s="46">
        <f t="shared" si="3"/>
        <v>8</v>
      </c>
      <c r="N46" s="43" t="b">
        <f t="shared" si="1"/>
        <v>0</v>
      </c>
    </row>
    <row r="47" spans="1:14" ht="32.25" customHeight="1">
      <c r="A47" s="44" t="s">
        <v>153</v>
      </c>
      <c r="B47" s="45" t="s">
        <v>154</v>
      </c>
      <c r="C47" s="45" t="s">
        <v>155</v>
      </c>
      <c r="D47" s="45" t="s">
        <v>156</v>
      </c>
      <c r="E47" s="45" t="s">
        <v>157</v>
      </c>
      <c r="F47" s="44" t="s">
        <v>14</v>
      </c>
      <c r="G47" s="44" t="s">
        <v>14</v>
      </c>
      <c r="H47" s="46" t="s">
        <v>158</v>
      </c>
      <c r="I47" s="44">
        <v>4</v>
      </c>
      <c r="J47" s="44">
        <v>4</v>
      </c>
      <c r="K47" s="44">
        <v>4</v>
      </c>
      <c r="L47" s="46">
        <f t="shared" si="0"/>
        <v>12</v>
      </c>
      <c r="N47" s="43" t="b">
        <f t="shared" si="1"/>
        <v>1</v>
      </c>
    </row>
    <row r="48" spans="1:14" ht="32.25" customHeight="1">
      <c r="A48" s="44" t="s">
        <v>153</v>
      </c>
      <c r="B48" s="45" t="s">
        <v>154</v>
      </c>
      <c r="C48" s="45" t="s">
        <v>159</v>
      </c>
      <c r="D48" s="45" t="s">
        <v>160</v>
      </c>
      <c r="E48" s="45" t="s">
        <v>161</v>
      </c>
      <c r="F48" s="44" t="s">
        <v>14</v>
      </c>
      <c r="G48" s="44" t="s">
        <v>14</v>
      </c>
      <c r="H48" s="44" t="s">
        <v>51</v>
      </c>
      <c r="I48" s="44">
        <v>3</v>
      </c>
      <c r="J48" s="44">
        <v>4</v>
      </c>
      <c r="K48" s="44">
        <v>4</v>
      </c>
      <c r="L48" s="46">
        <f t="shared" si="0"/>
        <v>11</v>
      </c>
      <c r="M48" s="40"/>
      <c r="N48" s="43" t="b">
        <f t="shared" si="1"/>
        <v>1</v>
      </c>
    </row>
    <row r="49" spans="1:14" ht="32.25" customHeight="1">
      <c r="A49" s="44" t="s">
        <v>153</v>
      </c>
      <c r="B49" s="45" t="s">
        <v>154</v>
      </c>
      <c r="C49" s="45" t="s">
        <v>162</v>
      </c>
      <c r="D49" s="45" t="s">
        <v>163</v>
      </c>
      <c r="E49" s="45" t="s">
        <v>164</v>
      </c>
      <c r="F49" s="44" t="s">
        <v>14</v>
      </c>
      <c r="G49" s="44" t="s">
        <v>14</v>
      </c>
      <c r="H49" s="44" t="s">
        <v>51</v>
      </c>
      <c r="I49" s="44">
        <v>3</v>
      </c>
      <c r="J49" s="44">
        <v>4</v>
      </c>
      <c r="K49" s="44">
        <v>4</v>
      </c>
      <c r="L49" s="46">
        <f t="shared" si="0"/>
        <v>11</v>
      </c>
      <c r="N49" s="43" t="b">
        <f t="shared" si="1"/>
        <v>1</v>
      </c>
    </row>
    <row r="50" spans="1:14" ht="32.25" customHeight="1">
      <c r="A50" s="44" t="s">
        <v>153</v>
      </c>
      <c r="B50" s="45" t="s">
        <v>154</v>
      </c>
      <c r="C50" s="45" t="s">
        <v>165</v>
      </c>
      <c r="D50" s="45" t="s">
        <v>166</v>
      </c>
      <c r="E50" s="45" t="s">
        <v>167</v>
      </c>
      <c r="F50" s="44" t="s">
        <v>14</v>
      </c>
      <c r="G50" s="44" t="s">
        <v>14</v>
      </c>
      <c r="H50" s="44" t="s">
        <v>51</v>
      </c>
      <c r="I50" s="44">
        <v>3</v>
      </c>
      <c r="J50" s="44">
        <v>4</v>
      </c>
      <c r="K50" s="44">
        <v>4</v>
      </c>
      <c r="L50" s="46">
        <f t="shared" ref="L50" si="4">SUM(I50:K50)</f>
        <v>11</v>
      </c>
      <c r="M50" s="40"/>
      <c r="N50" s="43" t="b">
        <f t="shared" si="1"/>
        <v>1</v>
      </c>
    </row>
    <row r="51" spans="1:14" ht="32.25" hidden="1" customHeight="1">
      <c r="A51" s="44" t="s">
        <v>153</v>
      </c>
      <c r="B51" s="45" t="s">
        <v>154</v>
      </c>
      <c r="C51" s="45" t="s">
        <v>168</v>
      </c>
      <c r="D51" s="45" t="s">
        <v>169</v>
      </c>
      <c r="E51" s="45" t="s">
        <v>170</v>
      </c>
      <c r="F51" s="44" t="s">
        <v>14</v>
      </c>
      <c r="G51" s="44" t="s">
        <v>14</v>
      </c>
      <c r="H51" s="44" t="s">
        <v>51</v>
      </c>
      <c r="I51" s="44">
        <v>3</v>
      </c>
      <c r="J51" s="44">
        <v>2</v>
      </c>
      <c r="K51" s="44">
        <v>2</v>
      </c>
      <c r="L51" s="46">
        <f t="shared" si="0"/>
        <v>7</v>
      </c>
      <c r="N51" s="43" t="b">
        <f t="shared" si="1"/>
        <v>0</v>
      </c>
    </row>
    <row r="52" spans="1:14" ht="32.25" hidden="1" customHeight="1">
      <c r="A52" s="44" t="s">
        <v>153</v>
      </c>
      <c r="B52" s="45" t="s">
        <v>154</v>
      </c>
      <c r="C52" s="45" t="s">
        <v>171</v>
      </c>
      <c r="D52" s="45" t="s">
        <v>172</v>
      </c>
      <c r="E52" s="45" t="s">
        <v>173</v>
      </c>
      <c r="F52" s="44" t="s">
        <v>14</v>
      </c>
      <c r="G52" s="44" t="s">
        <v>14</v>
      </c>
      <c r="H52" s="44" t="s">
        <v>51</v>
      </c>
      <c r="I52" s="44">
        <v>1</v>
      </c>
      <c r="J52" s="44">
        <v>2</v>
      </c>
      <c r="K52" s="44">
        <v>2</v>
      </c>
      <c r="L52" s="46">
        <f t="shared" ref="L52" si="5">SUM(I52:K52)</f>
        <v>5</v>
      </c>
      <c r="N52" s="43" t="b">
        <f t="shared" si="1"/>
        <v>0</v>
      </c>
    </row>
    <row r="53" spans="1:14" ht="32.25" customHeight="1">
      <c r="A53" s="44" t="s">
        <v>153</v>
      </c>
      <c r="B53" s="45" t="s">
        <v>154</v>
      </c>
      <c r="C53" s="45" t="s">
        <v>174</v>
      </c>
      <c r="D53" s="45" t="s">
        <v>175</v>
      </c>
      <c r="E53" s="45" t="s">
        <v>176</v>
      </c>
      <c r="F53" s="44" t="s">
        <v>14</v>
      </c>
      <c r="G53" s="44" t="s">
        <v>14</v>
      </c>
      <c r="H53" s="44" t="s">
        <v>177</v>
      </c>
      <c r="I53" s="44">
        <v>3</v>
      </c>
      <c r="J53" s="44">
        <v>4</v>
      </c>
      <c r="K53" s="44">
        <v>4</v>
      </c>
      <c r="L53" s="46">
        <f t="shared" ref="L53" si="6">SUM(I53:K53)</f>
        <v>11</v>
      </c>
      <c r="N53" s="43" t="b">
        <f t="shared" si="1"/>
        <v>1</v>
      </c>
    </row>
    <row r="54" spans="1:14" ht="32.25" hidden="1" customHeight="1">
      <c r="A54" s="44" t="s">
        <v>153</v>
      </c>
      <c r="B54" s="45" t="s">
        <v>154</v>
      </c>
      <c r="C54" s="45" t="s">
        <v>178</v>
      </c>
      <c r="D54" s="45" t="s">
        <v>179</v>
      </c>
      <c r="E54" s="45" t="s">
        <v>180</v>
      </c>
      <c r="F54" s="44" t="s">
        <v>14</v>
      </c>
      <c r="G54" s="44" t="s">
        <v>14</v>
      </c>
      <c r="H54" s="44" t="s">
        <v>51</v>
      </c>
      <c r="I54" s="44">
        <v>1</v>
      </c>
      <c r="J54" s="44">
        <v>2</v>
      </c>
      <c r="K54" s="44">
        <v>2</v>
      </c>
      <c r="L54" s="46">
        <f t="shared" si="0"/>
        <v>5</v>
      </c>
      <c r="N54" s="43" t="b">
        <f t="shared" si="1"/>
        <v>0</v>
      </c>
    </row>
    <row r="55" spans="1:14" ht="32.25" hidden="1" customHeight="1">
      <c r="A55" s="44" t="s">
        <v>153</v>
      </c>
      <c r="B55" s="45" t="s">
        <v>154</v>
      </c>
      <c r="C55" s="45" t="s">
        <v>181</v>
      </c>
      <c r="D55" s="45" t="s">
        <v>182</v>
      </c>
      <c r="E55" s="45" t="s">
        <v>183</v>
      </c>
      <c r="F55" s="44" t="s">
        <v>14</v>
      </c>
      <c r="G55" s="44" t="s">
        <v>14</v>
      </c>
      <c r="H55" s="46" t="s">
        <v>177</v>
      </c>
      <c r="I55" s="44">
        <v>1</v>
      </c>
      <c r="J55" s="44">
        <v>2</v>
      </c>
      <c r="K55" s="44">
        <v>2</v>
      </c>
      <c r="L55" s="46">
        <f t="shared" si="0"/>
        <v>5</v>
      </c>
      <c r="N55" s="43" t="b">
        <f t="shared" si="1"/>
        <v>0</v>
      </c>
    </row>
    <row r="56" spans="1:14" ht="63" hidden="1">
      <c r="A56" s="44" t="s">
        <v>153</v>
      </c>
      <c r="B56" s="45" t="s">
        <v>154</v>
      </c>
      <c r="C56" s="45" t="s">
        <v>184</v>
      </c>
      <c r="D56" s="45" t="s">
        <v>185</v>
      </c>
      <c r="E56" s="45" t="s">
        <v>183</v>
      </c>
      <c r="F56" s="44" t="s">
        <v>14</v>
      </c>
      <c r="G56" s="44" t="s">
        <v>14</v>
      </c>
      <c r="H56" s="52" t="s">
        <v>186</v>
      </c>
      <c r="I56" s="44">
        <v>1</v>
      </c>
      <c r="J56" s="44">
        <v>2</v>
      </c>
      <c r="K56" s="44">
        <v>2</v>
      </c>
      <c r="L56" s="46">
        <f t="shared" si="0"/>
        <v>5</v>
      </c>
      <c r="N56" s="43" t="b">
        <f t="shared" si="1"/>
        <v>0</v>
      </c>
    </row>
    <row r="57" spans="1:14" ht="63" hidden="1">
      <c r="A57" s="44" t="s">
        <v>153</v>
      </c>
      <c r="B57" s="45" t="s">
        <v>154</v>
      </c>
      <c r="C57" s="45" t="s">
        <v>187</v>
      </c>
      <c r="D57" s="45" t="s">
        <v>188</v>
      </c>
      <c r="E57" s="45" t="s">
        <v>183</v>
      </c>
      <c r="F57" s="44" t="s">
        <v>14</v>
      </c>
      <c r="G57" s="44" t="s">
        <v>14</v>
      </c>
      <c r="H57" s="52" t="s">
        <v>186</v>
      </c>
      <c r="I57" s="44">
        <v>1</v>
      </c>
      <c r="J57" s="44">
        <v>2</v>
      </c>
      <c r="K57" s="44">
        <v>2</v>
      </c>
      <c r="L57" s="46">
        <f t="shared" si="0"/>
        <v>5</v>
      </c>
      <c r="N57" s="43" t="b">
        <f t="shared" si="1"/>
        <v>0</v>
      </c>
    </row>
    <row r="58" spans="1:14" ht="32.25" hidden="1" customHeight="1">
      <c r="A58" s="44" t="s">
        <v>153</v>
      </c>
      <c r="B58" s="45" t="s">
        <v>154</v>
      </c>
      <c r="C58" s="45" t="s">
        <v>189</v>
      </c>
      <c r="D58" s="45" t="s">
        <v>190</v>
      </c>
      <c r="E58" s="45" t="s">
        <v>183</v>
      </c>
      <c r="F58" s="44" t="s">
        <v>14</v>
      </c>
      <c r="G58" s="44" t="s">
        <v>14</v>
      </c>
      <c r="H58" s="46" t="s">
        <v>191</v>
      </c>
      <c r="I58" s="44">
        <v>1</v>
      </c>
      <c r="J58" s="44">
        <v>2</v>
      </c>
      <c r="K58" s="44">
        <v>2</v>
      </c>
      <c r="L58" s="46">
        <f t="shared" si="0"/>
        <v>5</v>
      </c>
      <c r="N58" s="43" t="b">
        <f t="shared" si="1"/>
        <v>0</v>
      </c>
    </row>
    <row r="59" spans="1:14" ht="32.25" hidden="1" customHeight="1">
      <c r="A59" s="44" t="s">
        <v>153</v>
      </c>
      <c r="B59" s="45" t="s">
        <v>154</v>
      </c>
      <c r="C59" s="45" t="s">
        <v>192</v>
      </c>
      <c r="D59" s="45" t="s">
        <v>193</v>
      </c>
      <c r="E59" s="45" t="s">
        <v>194</v>
      </c>
      <c r="F59" s="44" t="s">
        <v>14</v>
      </c>
      <c r="G59" s="44" t="s">
        <v>14</v>
      </c>
      <c r="H59" s="44" t="s">
        <v>51</v>
      </c>
      <c r="I59" s="44">
        <v>2</v>
      </c>
      <c r="J59" s="44">
        <v>2</v>
      </c>
      <c r="K59" s="44">
        <v>2</v>
      </c>
      <c r="L59" s="46">
        <f t="shared" si="0"/>
        <v>6</v>
      </c>
      <c r="N59" s="43" t="b">
        <f t="shared" si="1"/>
        <v>0</v>
      </c>
    </row>
    <row r="60" spans="1:14" ht="32.25" customHeight="1">
      <c r="A60" s="44" t="s">
        <v>153</v>
      </c>
      <c r="B60" s="45" t="s">
        <v>154</v>
      </c>
      <c r="C60" s="45" t="s">
        <v>195</v>
      </c>
      <c r="D60" s="45" t="s">
        <v>196</v>
      </c>
      <c r="E60" s="45" t="s">
        <v>197</v>
      </c>
      <c r="F60" s="44" t="s">
        <v>14</v>
      </c>
      <c r="G60" s="44" t="s">
        <v>14</v>
      </c>
      <c r="H60" s="44" t="s">
        <v>51</v>
      </c>
      <c r="I60" s="44">
        <v>3</v>
      </c>
      <c r="J60" s="44">
        <v>3</v>
      </c>
      <c r="K60" s="44">
        <v>4</v>
      </c>
      <c r="L60" s="46">
        <f t="shared" si="0"/>
        <v>10</v>
      </c>
      <c r="N60" s="43" t="b">
        <f t="shared" si="1"/>
        <v>1</v>
      </c>
    </row>
    <row r="61" spans="1:14" ht="32.25" customHeight="1">
      <c r="A61" s="44" t="s">
        <v>153</v>
      </c>
      <c r="B61" s="45" t="s">
        <v>154</v>
      </c>
      <c r="C61" s="45" t="s">
        <v>198</v>
      </c>
      <c r="D61" s="45" t="s">
        <v>199</v>
      </c>
      <c r="E61" s="45" t="s">
        <v>183</v>
      </c>
      <c r="F61" s="44" t="s">
        <v>14</v>
      </c>
      <c r="G61" s="44" t="s">
        <v>14</v>
      </c>
      <c r="H61" s="44" t="s">
        <v>51</v>
      </c>
      <c r="I61" s="44">
        <v>3</v>
      </c>
      <c r="J61" s="44">
        <v>3</v>
      </c>
      <c r="K61" s="44">
        <v>4</v>
      </c>
      <c r="L61" s="46">
        <f t="shared" ref="L61:L63" si="7">SUM(I61:K61)</f>
        <v>10</v>
      </c>
      <c r="N61" s="43" t="b">
        <f t="shared" si="1"/>
        <v>1</v>
      </c>
    </row>
    <row r="62" spans="1:14" ht="32.25" customHeight="1">
      <c r="A62" s="44" t="s">
        <v>153</v>
      </c>
      <c r="B62" s="45" t="s">
        <v>154</v>
      </c>
      <c r="C62" s="45" t="s">
        <v>200</v>
      </c>
      <c r="D62" s="45" t="s">
        <v>201</v>
      </c>
      <c r="E62" s="45" t="s">
        <v>183</v>
      </c>
      <c r="F62" s="44" t="s">
        <v>14</v>
      </c>
      <c r="G62" s="44" t="s">
        <v>14</v>
      </c>
      <c r="H62" s="44" t="s">
        <v>51</v>
      </c>
      <c r="I62" s="44">
        <v>3</v>
      </c>
      <c r="J62" s="44">
        <v>3</v>
      </c>
      <c r="K62" s="44">
        <v>4</v>
      </c>
      <c r="L62" s="46">
        <f t="shared" si="7"/>
        <v>10</v>
      </c>
      <c r="N62" s="43" t="b">
        <f t="shared" si="1"/>
        <v>1</v>
      </c>
    </row>
    <row r="63" spans="1:14" ht="32.25" hidden="1" customHeight="1">
      <c r="A63" s="44" t="s">
        <v>202</v>
      </c>
      <c r="B63" s="45" t="s">
        <v>154</v>
      </c>
      <c r="C63" s="45" t="s">
        <v>203</v>
      </c>
      <c r="D63" s="45" t="s">
        <v>204</v>
      </c>
      <c r="E63" s="45" t="s">
        <v>183</v>
      </c>
      <c r="F63" s="44" t="s">
        <v>14</v>
      </c>
      <c r="G63" s="44" t="s">
        <v>14</v>
      </c>
      <c r="H63" s="44" t="s">
        <v>51</v>
      </c>
      <c r="I63" s="44">
        <v>1</v>
      </c>
      <c r="J63" s="44">
        <v>2</v>
      </c>
      <c r="K63" s="44">
        <v>2</v>
      </c>
      <c r="L63" s="46">
        <f t="shared" si="7"/>
        <v>5</v>
      </c>
      <c r="M63" s="40"/>
      <c r="N63" s="43" t="b">
        <f t="shared" si="1"/>
        <v>0</v>
      </c>
    </row>
    <row r="64" spans="1:14" ht="32.25" customHeight="1">
      <c r="A64" s="44" t="s">
        <v>202</v>
      </c>
      <c r="B64" s="45" t="s">
        <v>154</v>
      </c>
      <c r="C64" s="45" t="s">
        <v>205</v>
      </c>
      <c r="D64" s="45" t="s">
        <v>206</v>
      </c>
      <c r="E64" s="45" t="s">
        <v>207</v>
      </c>
      <c r="F64" s="44" t="s">
        <v>14</v>
      </c>
      <c r="G64" s="44" t="s">
        <v>14</v>
      </c>
      <c r="H64" s="44" t="s">
        <v>51</v>
      </c>
      <c r="I64" s="44">
        <v>3</v>
      </c>
      <c r="J64" s="44">
        <v>4</v>
      </c>
      <c r="K64" s="44">
        <v>4</v>
      </c>
      <c r="L64" s="46">
        <f t="shared" ref="L64:L66" si="8">SUM(I64:K64)</f>
        <v>11</v>
      </c>
      <c r="M64" s="40"/>
      <c r="N64" s="43" t="b">
        <f t="shared" si="1"/>
        <v>1</v>
      </c>
    </row>
    <row r="65" spans="1:14" ht="32.25" hidden="1" customHeight="1">
      <c r="A65" s="44" t="s">
        <v>202</v>
      </c>
      <c r="B65" s="45" t="s">
        <v>154</v>
      </c>
      <c r="C65" s="45" t="s">
        <v>208</v>
      </c>
      <c r="D65" s="45" t="s">
        <v>209</v>
      </c>
      <c r="E65" s="45" t="s">
        <v>210</v>
      </c>
      <c r="F65" s="44" t="s">
        <v>14</v>
      </c>
      <c r="G65" s="44" t="s">
        <v>14</v>
      </c>
      <c r="H65" s="44" t="s">
        <v>51</v>
      </c>
      <c r="I65" s="44">
        <v>3</v>
      </c>
      <c r="J65" s="44">
        <v>3</v>
      </c>
      <c r="K65" s="44">
        <v>3</v>
      </c>
      <c r="L65" s="46">
        <f t="shared" si="8"/>
        <v>9</v>
      </c>
      <c r="M65" s="40"/>
      <c r="N65" s="43" t="b">
        <f t="shared" si="1"/>
        <v>0</v>
      </c>
    </row>
    <row r="66" spans="1:14" ht="78.75" hidden="1">
      <c r="A66" s="56" t="s">
        <v>202</v>
      </c>
      <c r="B66" s="57" t="s">
        <v>154</v>
      </c>
      <c r="C66" s="57" t="s">
        <v>211</v>
      </c>
      <c r="D66" s="57" t="s">
        <v>212</v>
      </c>
      <c r="E66" s="57" t="s">
        <v>213</v>
      </c>
      <c r="F66" s="56" t="s">
        <v>14</v>
      </c>
      <c r="G66" s="56" t="s">
        <v>14</v>
      </c>
      <c r="H66" s="58" t="s">
        <v>214</v>
      </c>
      <c r="I66" s="56">
        <v>3</v>
      </c>
      <c r="J66" s="56">
        <v>3</v>
      </c>
      <c r="K66" s="56">
        <v>3</v>
      </c>
      <c r="L66" s="59">
        <f t="shared" si="8"/>
        <v>9</v>
      </c>
      <c r="M66" s="60" t="s">
        <v>215</v>
      </c>
      <c r="N66" s="43" t="b">
        <f t="shared" si="1"/>
        <v>0</v>
      </c>
    </row>
    <row r="67" spans="1:14" ht="63" hidden="1">
      <c r="A67" s="56" t="s">
        <v>202</v>
      </c>
      <c r="B67" s="57" t="s">
        <v>154</v>
      </c>
      <c r="C67" s="57" t="s">
        <v>216</v>
      </c>
      <c r="D67" s="57" t="s">
        <v>217</v>
      </c>
      <c r="E67" s="57" t="s">
        <v>218</v>
      </c>
      <c r="F67" s="56" t="s">
        <v>14</v>
      </c>
      <c r="G67" s="56" t="s">
        <v>14</v>
      </c>
      <c r="H67" s="58" t="s">
        <v>219</v>
      </c>
      <c r="I67" s="56">
        <v>3</v>
      </c>
      <c r="J67" s="56">
        <v>3</v>
      </c>
      <c r="K67" s="56">
        <v>3</v>
      </c>
      <c r="L67" s="59">
        <f t="shared" ref="L67:L68" si="9">SUM(I67:K67)</f>
        <v>9</v>
      </c>
      <c r="M67" s="60" t="s">
        <v>220</v>
      </c>
      <c r="N67" s="43" t="b">
        <f t="shared" ref="N67:N111" si="10">OR(IF(I67=4,1,0),IF(J67=4,1,0),IF(K67=4,1,0))</f>
        <v>0</v>
      </c>
    </row>
    <row r="68" spans="1:14">
      <c r="A68" s="44" t="s">
        <v>202</v>
      </c>
      <c r="B68" s="45" t="s">
        <v>154</v>
      </c>
      <c r="C68" s="45" t="s">
        <v>221</v>
      </c>
      <c r="D68" s="45" t="s">
        <v>222</v>
      </c>
      <c r="E68" s="45" t="s">
        <v>223</v>
      </c>
      <c r="F68" s="44" t="s">
        <v>14</v>
      </c>
      <c r="G68" s="44" t="s">
        <v>14</v>
      </c>
      <c r="H68" s="44" t="s">
        <v>51</v>
      </c>
      <c r="I68" s="44">
        <v>3</v>
      </c>
      <c r="J68" s="44">
        <v>3</v>
      </c>
      <c r="K68" s="44">
        <v>4</v>
      </c>
      <c r="L68" s="46">
        <f t="shared" si="9"/>
        <v>10</v>
      </c>
      <c r="N68" s="43" t="b">
        <f t="shared" si="10"/>
        <v>1</v>
      </c>
    </row>
    <row r="69" spans="1:14" ht="126">
      <c r="A69" s="44" t="s">
        <v>224</v>
      </c>
      <c r="B69" s="45" t="s">
        <v>225</v>
      </c>
      <c r="C69" s="45" t="s">
        <v>226</v>
      </c>
      <c r="D69" s="45" t="s">
        <v>227</v>
      </c>
      <c r="E69" s="45" t="s">
        <v>228</v>
      </c>
      <c r="F69" s="44" t="s">
        <v>14</v>
      </c>
      <c r="G69" s="44" t="s">
        <v>14</v>
      </c>
      <c r="H69" s="44" t="s">
        <v>51</v>
      </c>
      <c r="I69" s="44">
        <v>3</v>
      </c>
      <c r="J69" s="44">
        <v>3</v>
      </c>
      <c r="K69" s="44">
        <v>4</v>
      </c>
      <c r="L69" s="46">
        <f t="shared" ref="L69" si="11">SUM(I69:K69)</f>
        <v>10</v>
      </c>
      <c r="N69" s="43" t="b">
        <f t="shared" si="10"/>
        <v>1</v>
      </c>
    </row>
    <row r="70" spans="1:14" ht="32.25" hidden="1" customHeight="1">
      <c r="A70" s="44" t="s">
        <v>224</v>
      </c>
      <c r="B70" s="45" t="s">
        <v>225</v>
      </c>
      <c r="C70" s="45" t="s">
        <v>229</v>
      </c>
      <c r="D70" s="45" t="s">
        <v>230</v>
      </c>
      <c r="E70" s="45" t="s">
        <v>231</v>
      </c>
      <c r="F70" s="44" t="s">
        <v>14</v>
      </c>
      <c r="G70" s="44" t="s">
        <v>14</v>
      </c>
      <c r="H70" s="44" t="s">
        <v>51</v>
      </c>
      <c r="I70" s="44">
        <v>3</v>
      </c>
      <c r="J70" s="44">
        <v>3</v>
      </c>
      <c r="K70" s="44">
        <v>3</v>
      </c>
      <c r="L70" s="46">
        <f t="shared" si="0"/>
        <v>9</v>
      </c>
      <c r="N70" s="43" t="b">
        <f t="shared" si="10"/>
        <v>0</v>
      </c>
    </row>
    <row r="71" spans="1:14" ht="32.25" hidden="1" customHeight="1">
      <c r="A71" s="44" t="s">
        <v>224</v>
      </c>
      <c r="B71" s="45" t="s">
        <v>225</v>
      </c>
      <c r="C71" s="45" t="s">
        <v>232</v>
      </c>
      <c r="D71" s="45" t="s">
        <v>233</v>
      </c>
      <c r="E71" s="45" t="s">
        <v>234</v>
      </c>
      <c r="F71" s="44" t="s">
        <v>38</v>
      </c>
      <c r="G71" s="44" t="s">
        <v>38</v>
      </c>
      <c r="H71" s="44" t="s">
        <v>51</v>
      </c>
      <c r="I71" s="44">
        <v>3</v>
      </c>
      <c r="J71" s="44">
        <v>3</v>
      </c>
      <c r="K71" s="44">
        <v>3</v>
      </c>
      <c r="L71" s="46">
        <f t="shared" si="0"/>
        <v>9</v>
      </c>
      <c r="N71" s="43" t="b">
        <f t="shared" si="10"/>
        <v>0</v>
      </c>
    </row>
    <row r="72" spans="1:14" ht="32.25" customHeight="1">
      <c r="A72" s="44" t="s">
        <v>224</v>
      </c>
      <c r="B72" s="45" t="s">
        <v>225</v>
      </c>
      <c r="C72" s="45" t="s">
        <v>235</v>
      </c>
      <c r="D72" s="45" t="s">
        <v>236</v>
      </c>
      <c r="E72" s="45" t="s">
        <v>237</v>
      </c>
      <c r="F72" s="44" t="s">
        <v>14</v>
      </c>
      <c r="G72" s="44" t="s">
        <v>38</v>
      </c>
      <c r="H72" s="44" t="s">
        <v>51</v>
      </c>
      <c r="I72" s="44">
        <v>3</v>
      </c>
      <c r="J72" s="44">
        <v>4</v>
      </c>
      <c r="K72" s="44">
        <v>4</v>
      </c>
      <c r="L72" s="46">
        <f t="shared" si="0"/>
        <v>11</v>
      </c>
      <c r="N72" s="43" t="b">
        <f t="shared" si="10"/>
        <v>1</v>
      </c>
    </row>
    <row r="73" spans="1:14">
      <c r="A73" s="44" t="s">
        <v>224</v>
      </c>
      <c r="B73" s="45" t="s">
        <v>225</v>
      </c>
      <c r="C73" s="45" t="s">
        <v>238</v>
      </c>
      <c r="D73" s="45" t="s">
        <v>239</v>
      </c>
      <c r="E73" s="45" t="s">
        <v>240</v>
      </c>
      <c r="F73" s="44" t="s">
        <v>14</v>
      </c>
      <c r="G73" s="44" t="s">
        <v>38</v>
      </c>
      <c r="H73" s="44" t="s">
        <v>51</v>
      </c>
      <c r="I73" s="44">
        <v>4</v>
      </c>
      <c r="J73" s="44">
        <v>4</v>
      </c>
      <c r="K73" s="44">
        <v>4</v>
      </c>
      <c r="L73" s="46">
        <f t="shared" si="0"/>
        <v>12</v>
      </c>
      <c r="N73" s="43" t="b">
        <f t="shared" si="10"/>
        <v>1</v>
      </c>
    </row>
    <row r="74" spans="1:14" ht="32.25" hidden="1" customHeight="1">
      <c r="A74" s="44" t="s">
        <v>224</v>
      </c>
      <c r="B74" s="45" t="s">
        <v>225</v>
      </c>
      <c r="C74" s="45" t="s">
        <v>241</v>
      </c>
      <c r="D74" s="45" t="s">
        <v>233</v>
      </c>
      <c r="E74" s="45" t="s">
        <v>242</v>
      </c>
      <c r="F74" s="44" t="s">
        <v>14</v>
      </c>
      <c r="G74" s="44" t="s">
        <v>14</v>
      </c>
      <c r="H74" s="44" t="s">
        <v>51</v>
      </c>
      <c r="I74" s="46">
        <v>1</v>
      </c>
      <c r="J74" s="46">
        <v>1</v>
      </c>
      <c r="K74" s="46">
        <v>1</v>
      </c>
      <c r="L74" s="46">
        <f t="shared" si="0"/>
        <v>3</v>
      </c>
      <c r="N74" s="43" t="b">
        <f t="shared" si="10"/>
        <v>0</v>
      </c>
    </row>
    <row r="75" spans="1:14" ht="32.25" hidden="1" customHeight="1">
      <c r="A75" s="44" t="s">
        <v>224</v>
      </c>
      <c r="B75" s="45" t="s">
        <v>225</v>
      </c>
      <c r="C75" s="45" t="s">
        <v>243</v>
      </c>
      <c r="D75" s="45" t="s">
        <v>233</v>
      </c>
      <c r="E75" s="45" t="s">
        <v>242</v>
      </c>
      <c r="F75" s="44" t="s">
        <v>14</v>
      </c>
      <c r="G75" s="44" t="s">
        <v>14</v>
      </c>
      <c r="H75" s="44" t="s">
        <v>51</v>
      </c>
      <c r="I75" s="46">
        <v>1</v>
      </c>
      <c r="J75" s="46">
        <v>1</v>
      </c>
      <c r="K75" s="46">
        <v>1</v>
      </c>
      <c r="L75" s="46">
        <f t="shared" si="0"/>
        <v>3</v>
      </c>
      <c r="N75" s="43" t="b">
        <f t="shared" si="10"/>
        <v>0</v>
      </c>
    </row>
    <row r="76" spans="1:14" ht="32.25" hidden="1" customHeight="1">
      <c r="A76" s="46" t="s">
        <v>224</v>
      </c>
      <c r="B76" s="49" t="s">
        <v>225</v>
      </c>
      <c r="C76" s="45" t="s">
        <v>244</v>
      </c>
      <c r="D76" s="49" t="s">
        <v>245</v>
      </c>
      <c r="E76" s="49" t="s">
        <v>246</v>
      </c>
      <c r="F76" s="46" t="s">
        <v>14</v>
      </c>
      <c r="G76" s="46" t="s">
        <v>14</v>
      </c>
      <c r="H76" s="46" t="s">
        <v>51</v>
      </c>
      <c r="I76" s="46">
        <v>2</v>
      </c>
      <c r="J76" s="46">
        <v>2</v>
      </c>
      <c r="K76" s="46">
        <v>2</v>
      </c>
      <c r="L76" s="46">
        <f t="shared" si="0"/>
        <v>6</v>
      </c>
      <c r="N76" s="43" t="b">
        <f t="shared" si="10"/>
        <v>0</v>
      </c>
    </row>
    <row r="77" spans="1:14" ht="32.25" hidden="1" customHeight="1">
      <c r="A77" s="46" t="s">
        <v>224</v>
      </c>
      <c r="B77" s="49" t="s">
        <v>225</v>
      </c>
      <c r="C77" s="45" t="s">
        <v>247</v>
      </c>
      <c r="D77" s="49" t="s">
        <v>245</v>
      </c>
      <c r="E77" s="49" t="s">
        <v>242</v>
      </c>
      <c r="F77" s="46" t="s">
        <v>14</v>
      </c>
      <c r="G77" s="46" t="s">
        <v>14</v>
      </c>
      <c r="H77" s="46" t="s">
        <v>51</v>
      </c>
      <c r="I77" s="46">
        <v>1</v>
      </c>
      <c r="J77" s="46">
        <v>1</v>
      </c>
      <c r="K77" s="46">
        <v>1</v>
      </c>
      <c r="L77" s="46">
        <f t="shared" si="0"/>
        <v>3</v>
      </c>
      <c r="N77" s="43" t="b">
        <f t="shared" si="10"/>
        <v>0</v>
      </c>
    </row>
    <row r="78" spans="1:14" ht="32.25" hidden="1" customHeight="1">
      <c r="A78" s="44" t="s">
        <v>224</v>
      </c>
      <c r="B78" s="45" t="s">
        <v>225</v>
      </c>
      <c r="C78" s="45" t="s">
        <v>248</v>
      </c>
      <c r="D78" s="45" t="s">
        <v>249</v>
      </c>
      <c r="E78" s="45" t="s">
        <v>250</v>
      </c>
      <c r="F78" s="44" t="s">
        <v>38</v>
      </c>
      <c r="G78" s="44" t="s">
        <v>38</v>
      </c>
      <c r="H78" s="44" t="s">
        <v>51</v>
      </c>
      <c r="I78" s="44">
        <v>3</v>
      </c>
      <c r="J78" s="44">
        <v>2</v>
      </c>
      <c r="K78" s="44">
        <v>2</v>
      </c>
      <c r="L78" s="46">
        <f t="shared" si="0"/>
        <v>7</v>
      </c>
      <c r="N78" s="43" t="b">
        <f t="shared" si="10"/>
        <v>0</v>
      </c>
    </row>
    <row r="79" spans="1:14" ht="32.25" customHeight="1">
      <c r="A79" s="44" t="s">
        <v>224</v>
      </c>
      <c r="B79" s="45" t="s">
        <v>225</v>
      </c>
      <c r="C79" s="45" t="s">
        <v>251</v>
      </c>
      <c r="D79" s="45" t="s">
        <v>252</v>
      </c>
      <c r="E79" s="45" t="s">
        <v>253</v>
      </c>
      <c r="F79" s="44" t="s">
        <v>14</v>
      </c>
      <c r="G79" s="44" t="s">
        <v>14</v>
      </c>
      <c r="H79" s="44" t="s">
        <v>51</v>
      </c>
      <c r="I79" s="44">
        <v>3</v>
      </c>
      <c r="J79" s="44">
        <v>4</v>
      </c>
      <c r="K79" s="44">
        <v>4</v>
      </c>
      <c r="L79" s="46">
        <f t="shared" ref="L79:L111" si="12">SUM(I79:K79)</f>
        <v>11</v>
      </c>
      <c r="N79" s="43" t="b">
        <f t="shared" si="10"/>
        <v>1</v>
      </c>
    </row>
    <row r="80" spans="1:14" ht="32.25" hidden="1" customHeight="1">
      <c r="A80" s="53" t="s">
        <v>224</v>
      </c>
      <c r="B80" s="54" t="s">
        <v>225</v>
      </c>
      <c r="C80" s="54" t="s">
        <v>254</v>
      </c>
      <c r="D80" s="54" t="s">
        <v>255</v>
      </c>
      <c r="E80" s="54" t="s">
        <v>256</v>
      </c>
      <c r="F80" s="53" t="s">
        <v>14</v>
      </c>
      <c r="G80" s="53" t="s">
        <v>14</v>
      </c>
      <c r="H80" s="53" t="s">
        <v>51</v>
      </c>
      <c r="I80" s="53"/>
      <c r="J80" s="53"/>
      <c r="K80" s="53"/>
      <c r="L80" s="55"/>
      <c r="N80" s="43" t="b">
        <f t="shared" si="10"/>
        <v>0</v>
      </c>
    </row>
    <row r="81" spans="1:14" ht="32.25" hidden="1" customHeight="1">
      <c r="A81" s="53" t="s">
        <v>224</v>
      </c>
      <c r="B81" s="54" t="s">
        <v>225</v>
      </c>
      <c r="C81" s="54" t="s">
        <v>257</v>
      </c>
      <c r="D81" s="54" t="s">
        <v>258</v>
      </c>
      <c r="E81" s="54" t="s">
        <v>256</v>
      </c>
      <c r="F81" s="53" t="s">
        <v>14</v>
      </c>
      <c r="G81" s="53" t="s">
        <v>14</v>
      </c>
      <c r="H81" s="53" t="s">
        <v>51</v>
      </c>
      <c r="I81" s="53"/>
      <c r="J81" s="53"/>
      <c r="K81" s="53"/>
      <c r="L81" s="55"/>
      <c r="N81" s="43" t="b">
        <f t="shared" si="10"/>
        <v>0</v>
      </c>
    </row>
    <row r="82" spans="1:14" ht="32.25" customHeight="1">
      <c r="A82" s="44" t="s">
        <v>224</v>
      </c>
      <c r="B82" s="45" t="s">
        <v>225</v>
      </c>
      <c r="C82" s="45" t="s">
        <v>259</v>
      </c>
      <c r="D82" s="45" t="s">
        <v>252</v>
      </c>
      <c r="E82" s="45" t="s">
        <v>260</v>
      </c>
      <c r="F82" s="44" t="s">
        <v>14</v>
      </c>
      <c r="G82" s="44" t="s">
        <v>14</v>
      </c>
      <c r="H82" s="46" t="s">
        <v>177</v>
      </c>
      <c r="I82" s="44">
        <v>3</v>
      </c>
      <c r="J82" s="44">
        <v>4</v>
      </c>
      <c r="K82" s="44">
        <v>4</v>
      </c>
      <c r="L82" s="46">
        <f t="shared" si="12"/>
        <v>11</v>
      </c>
      <c r="N82" s="43" t="b">
        <f t="shared" si="10"/>
        <v>1</v>
      </c>
    </row>
    <row r="83" spans="1:14" ht="32.25" customHeight="1">
      <c r="A83" s="44" t="s">
        <v>224</v>
      </c>
      <c r="B83" s="45" t="s">
        <v>225</v>
      </c>
      <c r="C83" s="45" t="s">
        <v>261</v>
      </c>
      <c r="D83" s="45" t="s">
        <v>255</v>
      </c>
      <c r="E83" s="45" t="s">
        <v>262</v>
      </c>
      <c r="F83" s="44" t="s">
        <v>14</v>
      </c>
      <c r="G83" s="44" t="s">
        <v>14</v>
      </c>
      <c r="H83" s="46" t="s">
        <v>177</v>
      </c>
      <c r="I83" s="44">
        <v>4</v>
      </c>
      <c r="J83" s="44">
        <v>4</v>
      </c>
      <c r="K83" s="44">
        <v>4</v>
      </c>
      <c r="L83" s="46">
        <f t="shared" si="12"/>
        <v>12</v>
      </c>
      <c r="N83" s="43" t="b">
        <f t="shared" si="10"/>
        <v>1</v>
      </c>
    </row>
    <row r="84" spans="1:14" ht="32.25" customHeight="1">
      <c r="A84" s="44" t="s">
        <v>224</v>
      </c>
      <c r="B84" s="45" t="s">
        <v>225</v>
      </c>
      <c r="C84" s="45" t="s">
        <v>263</v>
      </c>
      <c r="D84" s="45" t="s">
        <v>258</v>
      </c>
      <c r="E84" s="45" t="s">
        <v>262</v>
      </c>
      <c r="F84" s="44" t="s">
        <v>14</v>
      </c>
      <c r="G84" s="44" t="s">
        <v>14</v>
      </c>
      <c r="H84" s="44" t="s">
        <v>51</v>
      </c>
      <c r="I84" s="44">
        <v>4</v>
      </c>
      <c r="J84" s="44">
        <v>4</v>
      </c>
      <c r="K84" s="44">
        <v>4</v>
      </c>
      <c r="L84" s="46">
        <f t="shared" si="12"/>
        <v>12</v>
      </c>
      <c r="N84" s="43" t="b">
        <f t="shared" si="10"/>
        <v>1</v>
      </c>
    </row>
    <row r="85" spans="1:14" ht="32.25" customHeight="1">
      <c r="A85" s="44" t="s">
        <v>224</v>
      </c>
      <c r="B85" s="45" t="s">
        <v>225</v>
      </c>
      <c r="C85" s="45" t="s">
        <v>264</v>
      </c>
      <c r="D85" s="45" t="s">
        <v>265</v>
      </c>
      <c r="E85" s="45" t="s">
        <v>266</v>
      </c>
      <c r="F85" s="44" t="s">
        <v>14</v>
      </c>
      <c r="G85" s="44" t="s">
        <v>14</v>
      </c>
      <c r="H85" s="44" t="s">
        <v>51</v>
      </c>
      <c r="I85" s="44">
        <v>3</v>
      </c>
      <c r="J85" s="44">
        <v>4</v>
      </c>
      <c r="K85" s="44">
        <v>4</v>
      </c>
      <c r="L85" s="46">
        <f t="shared" si="12"/>
        <v>11</v>
      </c>
      <c r="N85" s="43" t="b">
        <f t="shared" si="10"/>
        <v>1</v>
      </c>
    </row>
    <row r="86" spans="1:14" ht="32.25" customHeight="1">
      <c r="A86" s="44" t="s">
        <v>224</v>
      </c>
      <c r="B86" s="45" t="s">
        <v>225</v>
      </c>
      <c r="C86" s="45" t="s">
        <v>267</v>
      </c>
      <c r="D86" s="45" t="s">
        <v>265</v>
      </c>
      <c r="E86" s="45" t="s">
        <v>253</v>
      </c>
      <c r="F86" s="44" t="s">
        <v>14</v>
      </c>
      <c r="G86" s="44" t="s">
        <v>14</v>
      </c>
      <c r="H86" s="44" t="s">
        <v>51</v>
      </c>
      <c r="I86" s="44">
        <v>4</v>
      </c>
      <c r="J86" s="44">
        <v>4</v>
      </c>
      <c r="K86" s="44">
        <v>4</v>
      </c>
      <c r="L86" s="46">
        <f t="shared" si="12"/>
        <v>12</v>
      </c>
      <c r="N86" s="43" t="b">
        <f t="shared" si="10"/>
        <v>1</v>
      </c>
    </row>
    <row r="87" spans="1:14" ht="32.25" hidden="1" customHeight="1">
      <c r="A87" s="44" t="s">
        <v>224</v>
      </c>
      <c r="B87" s="45" t="s">
        <v>225</v>
      </c>
      <c r="C87" s="45" t="s">
        <v>268</v>
      </c>
      <c r="D87" s="49" t="s">
        <v>269</v>
      </c>
      <c r="E87" s="45" t="s">
        <v>270</v>
      </c>
      <c r="F87" s="44" t="s">
        <v>14</v>
      </c>
      <c r="G87" s="44" t="s">
        <v>14</v>
      </c>
      <c r="H87" s="44" t="s">
        <v>51</v>
      </c>
      <c r="I87" s="44">
        <v>3</v>
      </c>
      <c r="J87" s="44">
        <v>3</v>
      </c>
      <c r="K87" s="44">
        <v>3</v>
      </c>
      <c r="L87" s="46">
        <f t="shared" si="12"/>
        <v>9</v>
      </c>
      <c r="N87" s="43" t="b">
        <f t="shared" si="10"/>
        <v>0</v>
      </c>
    </row>
    <row r="88" spans="1:14" ht="32.25" hidden="1" customHeight="1">
      <c r="A88" s="44" t="s">
        <v>224</v>
      </c>
      <c r="B88" s="45" t="s">
        <v>225</v>
      </c>
      <c r="C88" s="45" t="s">
        <v>271</v>
      </c>
      <c r="D88" s="45" t="s">
        <v>272</v>
      </c>
      <c r="E88" s="45" t="s">
        <v>273</v>
      </c>
      <c r="F88" s="44" t="s">
        <v>14</v>
      </c>
      <c r="G88" s="44" t="s">
        <v>14</v>
      </c>
      <c r="H88" s="44" t="s">
        <v>51</v>
      </c>
      <c r="I88" s="44">
        <v>3</v>
      </c>
      <c r="J88" s="44">
        <v>3</v>
      </c>
      <c r="K88" s="44">
        <v>3</v>
      </c>
      <c r="L88" s="46">
        <f t="shared" si="12"/>
        <v>9</v>
      </c>
      <c r="N88" s="43" t="b">
        <f t="shared" si="10"/>
        <v>0</v>
      </c>
    </row>
    <row r="89" spans="1:14" ht="32.25" customHeight="1">
      <c r="A89" s="44" t="s">
        <v>224</v>
      </c>
      <c r="B89" s="45" t="s">
        <v>225</v>
      </c>
      <c r="C89" s="45" t="s">
        <v>274</v>
      </c>
      <c r="D89" s="45" t="s">
        <v>275</v>
      </c>
      <c r="E89" s="45" t="s">
        <v>276</v>
      </c>
      <c r="F89" s="44" t="s">
        <v>14</v>
      </c>
      <c r="G89" s="44" t="s">
        <v>14</v>
      </c>
      <c r="H89" s="44" t="s">
        <v>51</v>
      </c>
      <c r="I89" s="44">
        <v>4</v>
      </c>
      <c r="J89" s="44">
        <v>4</v>
      </c>
      <c r="K89" s="44">
        <v>4</v>
      </c>
      <c r="L89" s="46">
        <f t="shared" si="12"/>
        <v>12</v>
      </c>
      <c r="N89" s="43" t="b">
        <f t="shared" si="10"/>
        <v>1</v>
      </c>
    </row>
    <row r="90" spans="1:14" ht="32.25" customHeight="1">
      <c r="A90" s="44" t="s">
        <v>224</v>
      </c>
      <c r="B90" s="45" t="s">
        <v>225</v>
      </c>
      <c r="C90" s="45" t="s">
        <v>277</v>
      </c>
      <c r="D90" s="45" t="s">
        <v>278</v>
      </c>
      <c r="E90" s="45" t="s">
        <v>279</v>
      </c>
      <c r="F90" s="44" t="s">
        <v>14</v>
      </c>
      <c r="G90" s="44" t="s">
        <v>14</v>
      </c>
      <c r="H90" s="44" t="s">
        <v>51</v>
      </c>
      <c r="I90" s="44">
        <v>4</v>
      </c>
      <c r="J90" s="44">
        <v>4</v>
      </c>
      <c r="K90" s="44">
        <v>4</v>
      </c>
      <c r="L90" s="46">
        <f t="shared" si="12"/>
        <v>12</v>
      </c>
      <c r="N90" s="43" t="b">
        <f t="shared" si="10"/>
        <v>1</v>
      </c>
    </row>
    <row r="91" spans="1:14" ht="32.25" customHeight="1">
      <c r="A91" s="44" t="s">
        <v>224</v>
      </c>
      <c r="B91" s="45" t="s">
        <v>225</v>
      </c>
      <c r="C91" s="45" t="s">
        <v>280</v>
      </c>
      <c r="D91" s="45" t="s">
        <v>281</v>
      </c>
      <c r="E91" s="45" t="s">
        <v>282</v>
      </c>
      <c r="F91" s="44" t="s">
        <v>14</v>
      </c>
      <c r="G91" s="44" t="s">
        <v>14</v>
      </c>
      <c r="H91" s="44" t="s">
        <v>51</v>
      </c>
      <c r="I91" s="44">
        <v>4</v>
      </c>
      <c r="J91" s="44">
        <v>4</v>
      </c>
      <c r="K91" s="44">
        <v>4</v>
      </c>
      <c r="L91" s="46">
        <f t="shared" si="12"/>
        <v>12</v>
      </c>
      <c r="M91" s="43"/>
      <c r="N91" s="43" t="b">
        <f t="shared" si="10"/>
        <v>1</v>
      </c>
    </row>
    <row r="92" spans="1:14" ht="32.25" customHeight="1">
      <c r="A92" s="44" t="s">
        <v>224</v>
      </c>
      <c r="B92" s="45" t="s">
        <v>225</v>
      </c>
      <c r="C92" s="45" t="s">
        <v>283</v>
      </c>
      <c r="D92" s="45" t="s">
        <v>284</v>
      </c>
      <c r="E92" s="45" t="s">
        <v>285</v>
      </c>
      <c r="F92" s="44" t="s">
        <v>14</v>
      </c>
      <c r="G92" s="44" t="s">
        <v>14</v>
      </c>
      <c r="H92" s="44" t="s">
        <v>51</v>
      </c>
      <c r="I92" s="44">
        <v>4</v>
      </c>
      <c r="J92" s="44">
        <v>4</v>
      </c>
      <c r="K92" s="44">
        <v>4</v>
      </c>
      <c r="L92" s="46">
        <f t="shared" ref="L92:L99" si="13">SUM(I92:K92)</f>
        <v>12</v>
      </c>
      <c r="N92" s="43" t="b">
        <f t="shared" si="10"/>
        <v>1</v>
      </c>
    </row>
    <row r="93" spans="1:14" ht="32.25" customHeight="1">
      <c r="A93" s="44" t="s">
        <v>224</v>
      </c>
      <c r="B93" s="45" t="s">
        <v>225</v>
      </c>
      <c r="C93" s="45" t="s">
        <v>286</v>
      </c>
      <c r="D93" s="45" t="s">
        <v>287</v>
      </c>
      <c r="E93" s="45" t="s">
        <v>288</v>
      </c>
      <c r="F93" s="44" t="s">
        <v>14</v>
      </c>
      <c r="G93" s="44" t="s">
        <v>14</v>
      </c>
      <c r="H93" s="44" t="s">
        <v>51</v>
      </c>
      <c r="I93" s="44">
        <v>4</v>
      </c>
      <c r="J93" s="44">
        <v>4</v>
      </c>
      <c r="K93" s="44">
        <v>4</v>
      </c>
      <c r="L93" s="46">
        <f t="shared" si="13"/>
        <v>12</v>
      </c>
      <c r="N93" s="43" t="b">
        <f t="shared" si="10"/>
        <v>1</v>
      </c>
    </row>
    <row r="94" spans="1:14" ht="32.25" customHeight="1">
      <c r="A94" s="44" t="s">
        <v>224</v>
      </c>
      <c r="B94" s="45" t="s">
        <v>225</v>
      </c>
      <c r="C94" s="45" t="s">
        <v>289</v>
      </c>
      <c r="D94" s="45" t="s">
        <v>227</v>
      </c>
      <c r="E94" s="45" t="s">
        <v>290</v>
      </c>
      <c r="F94" s="44" t="s">
        <v>14</v>
      </c>
      <c r="G94" s="44" t="s">
        <v>14</v>
      </c>
      <c r="H94" s="44" t="s">
        <v>51</v>
      </c>
      <c r="I94" s="44">
        <v>3</v>
      </c>
      <c r="J94" s="44">
        <v>3</v>
      </c>
      <c r="K94" s="44">
        <v>4</v>
      </c>
      <c r="L94" s="46">
        <f t="shared" si="13"/>
        <v>10</v>
      </c>
      <c r="N94" s="43" t="b">
        <f t="shared" si="10"/>
        <v>1</v>
      </c>
    </row>
    <row r="95" spans="1:14" ht="32.25" customHeight="1">
      <c r="A95" s="44" t="s">
        <v>224</v>
      </c>
      <c r="B95" s="45" t="s">
        <v>225</v>
      </c>
      <c r="C95" s="45" t="s">
        <v>291</v>
      </c>
      <c r="D95" s="45" t="s">
        <v>292</v>
      </c>
      <c r="E95" s="45" t="s">
        <v>293</v>
      </c>
      <c r="F95" s="44" t="s">
        <v>14</v>
      </c>
      <c r="G95" s="44" t="s">
        <v>38</v>
      </c>
      <c r="H95" s="44" t="s">
        <v>51</v>
      </c>
      <c r="I95" s="44">
        <v>3</v>
      </c>
      <c r="J95" s="44">
        <v>4</v>
      </c>
      <c r="K95" s="44">
        <v>3</v>
      </c>
      <c r="L95" s="46">
        <f t="shared" ref="L95" si="14">SUM(I95:K95)</f>
        <v>10</v>
      </c>
      <c r="N95" s="43" t="b">
        <f t="shared" si="10"/>
        <v>1</v>
      </c>
    </row>
    <row r="96" spans="1:14" ht="32.25" customHeight="1">
      <c r="A96" s="44" t="s">
        <v>224</v>
      </c>
      <c r="B96" s="45" t="s">
        <v>225</v>
      </c>
      <c r="C96" s="45" t="s">
        <v>294</v>
      </c>
      <c r="D96" s="45" t="s">
        <v>295</v>
      </c>
      <c r="E96" s="45" t="s">
        <v>282</v>
      </c>
      <c r="F96" s="44" t="s">
        <v>14</v>
      </c>
      <c r="G96" s="44" t="s">
        <v>14</v>
      </c>
      <c r="H96" s="44" t="s">
        <v>296</v>
      </c>
      <c r="I96" s="44">
        <v>4</v>
      </c>
      <c r="J96" s="44">
        <v>4</v>
      </c>
      <c r="K96" s="44">
        <v>4</v>
      </c>
      <c r="L96" s="46">
        <v>12</v>
      </c>
      <c r="N96" s="43" t="b">
        <f t="shared" si="10"/>
        <v>1</v>
      </c>
    </row>
    <row r="97" spans="1:14" ht="32.25" customHeight="1">
      <c r="A97" s="44" t="s">
        <v>297</v>
      </c>
      <c r="B97" s="45" t="s">
        <v>225</v>
      </c>
      <c r="C97" s="45" t="s">
        <v>298</v>
      </c>
      <c r="D97" s="45" t="s">
        <v>227</v>
      </c>
      <c r="E97" s="45" t="s">
        <v>290</v>
      </c>
      <c r="F97" s="44" t="s">
        <v>14</v>
      </c>
      <c r="G97" s="44" t="s">
        <v>14</v>
      </c>
      <c r="H97" s="44" t="s">
        <v>51</v>
      </c>
      <c r="I97" s="44">
        <v>3</v>
      </c>
      <c r="J97" s="44">
        <v>3</v>
      </c>
      <c r="K97" s="44">
        <v>4</v>
      </c>
      <c r="L97" s="46">
        <f t="shared" si="13"/>
        <v>10</v>
      </c>
      <c r="N97" s="43" t="b">
        <f t="shared" si="10"/>
        <v>1</v>
      </c>
    </row>
    <row r="98" spans="1:14" ht="32.25" customHeight="1">
      <c r="A98" s="44" t="s">
        <v>297</v>
      </c>
      <c r="B98" s="45" t="s">
        <v>225</v>
      </c>
      <c r="C98" s="45" t="s">
        <v>299</v>
      </c>
      <c r="D98" s="45" t="s">
        <v>300</v>
      </c>
      <c r="E98" s="45" t="s">
        <v>301</v>
      </c>
      <c r="F98" s="44" t="s">
        <v>14</v>
      </c>
      <c r="G98" s="44" t="s">
        <v>14</v>
      </c>
      <c r="H98" s="44" t="s">
        <v>51</v>
      </c>
      <c r="I98" s="44">
        <v>3</v>
      </c>
      <c r="J98" s="44">
        <v>3</v>
      </c>
      <c r="K98" s="44">
        <v>4</v>
      </c>
      <c r="L98" s="46">
        <f t="shared" si="13"/>
        <v>10</v>
      </c>
      <c r="N98" s="43" t="b">
        <f t="shared" si="10"/>
        <v>1</v>
      </c>
    </row>
    <row r="99" spans="1:14" ht="32.25" customHeight="1">
      <c r="A99" s="44" t="s">
        <v>297</v>
      </c>
      <c r="B99" s="45" t="s">
        <v>225</v>
      </c>
      <c r="C99" s="45" t="s">
        <v>302</v>
      </c>
      <c r="D99" s="49" t="s">
        <v>303</v>
      </c>
      <c r="E99" s="49" t="s">
        <v>304</v>
      </c>
      <c r="F99" s="46" t="s">
        <v>38</v>
      </c>
      <c r="G99" s="46" t="s">
        <v>152</v>
      </c>
      <c r="H99" s="46" t="s">
        <v>15</v>
      </c>
      <c r="I99" s="46">
        <v>4</v>
      </c>
      <c r="J99" s="46">
        <v>3</v>
      </c>
      <c r="K99" s="46">
        <v>3</v>
      </c>
      <c r="L99" s="46">
        <f t="shared" si="13"/>
        <v>10</v>
      </c>
      <c r="N99" s="43" t="b">
        <f t="shared" si="10"/>
        <v>1</v>
      </c>
    </row>
    <row r="100" spans="1:14" ht="32.25" hidden="1" customHeight="1">
      <c r="A100" s="44" t="s">
        <v>305</v>
      </c>
      <c r="B100" s="45" t="s">
        <v>306</v>
      </c>
      <c r="C100" s="45" t="s">
        <v>307</v>
      </c>
      <c r="D100" s="45" t="s">
        <v>308</v>
      </c>
      <c r="E100" s="45" t="s">
        <v>309</v>
      </c>
      <c r="F100" s="44" t="s">
        <v>14</v>
      </c>
      <c r="G100" s="44" t="s">
        <v>14</v>
      </c>
      <c r="H100" s="44" t="s">
        <v>51</v>
      </c>
      <c r="I100" s="44">
        <v>1</v>
      </c>
      <c r="J100" s="44">
        <v>3</v>
      </c>
      <c r="K100" s="44">
        <v>3</v>
      </c>
      <c r="L100" s="46">
        <f t="shared" si="12"/>
        <v>7</v>
      </c>
      <c r="N100" s="43" t="b">
        <f t="shared" si="10"/>
        <v>0</v>
      </c>
    </row>
    <row r="101" spans="1:14" ht="32.25" hidden="1" customHeight="1">
      <c r="A101" s="44" t="s">
        <v>305</v>
      </c>
      <c r="B101" s="45" t="s">
        <v>306</v>
      </c>
      <c r="C101" s="45" t="s">
        <v>310</v>
      </c>
      <c r="D101" s="45" t="s">
        <v>311</v>
      </c>
      <c r="E101" s="45" t="s">
        <v>312</v>
      </c>
      <c r="F101" s="44" t="s">
        <v>14</v>
      </c>
      <c r="G101" s="44" t="s">
        <v>14</v>
      </c>
      <c r="H101" s="44" t="s">
        <v>51</v>
      </c>
      <c r="I101" s="44">
        <v>1</v>
      </c>
      <c r="J101" s="44">
        <v>3</v>
      </c>
      <c r="K101" s="44">
        <v>3</v>
      </c>
      <c r="L101" s="46">
        <f t="shared" si="12"/>
        <v>7</v>
      </c>
      <c r="N101" s="43" t="b">
        <f t="shared" si="10"/>
        <v>0</v>
      </c>
    </row>
    <row r="102" spans="1:14" ht="32.25" hidden="1" customHeight="1">
      <c r="A102" s="44" t="s">
        <v>305</v>
      </c>
      <c r="B102" s="45" t="s">
        <v>306</v>
      </c>
      <c r="C102" s="45" t="s">
        <v>313</v>
      </c>
      <c r="D102" s="45" t="s">
        <v>314</v>
      </c>
      <c r="E102" s="45" t="s">
        <v>315</v>
      </c>
      <c r="F102" s="44" t="s">
        <v>14</v>
      </c>
      <c r="G102" s="44" t="s">
        <v>14</v>
      </c>
      <c r="H102" s="44" t="s">
        <v>51</v>
      </c>
      <c r="I102" s="44">
        <v>1</v>
      </c>
      <c r="J102" s="44">
        <v>4</v>
      </c>
      <c r="K102" s="44">
        <v>4</v>
      </c>
      <c r="L102" s="46">
        <f t="shared" si="12"/>
        <v>9</v>
      </c>
      <c r="N102" s="43" t="b">
        <f t="shared" si="10"/>
        <v>1</v>
      </c>
    </row>
    <row r="103" spans="1:14" ht="31.5" hidden="1">
      <c r="A103" s="44" t="s">
        <v>305</v>
      </c>
      <c r="B103" s="45" t="s">
        <v>306</v>
      </c>
      <c r="C103" s="45" t="s">
        <v>316</v>
      </c>
      <c r="D103" s="45" t="s">
        <v>317</v>
      </c>
      <c r="E103" s="45" t="s">
        <v>318</v>
      </c>
      <c r="F103" s="44" t="s">
        <v>319</v>
      </c>
      <c r="G103" s="44" t="s">
        <v>319</v>
      </c>
      <c r="H103" s="46" t="s">
        <v>320</v>
      </c>
      <c r="I103" s="44">
        <v>1</v>
      </c>
      <c r="J103" s="44">
        <v>4</v>
      </c>
      <c r="K103" s="44">
        <v>4</v>
      </c>
      <c r="L103" s="46">
        <f t="shared" si="12"/>
        <v>9</v>
      </c>
      <c r="N103" s="43" t="b">
        <f t="shared" si="10"/>
        <v>1</v>
      </c>
    </row>
    <row r="104" spans="1:14" ht="47.25" hidden="1">
      <c r="A104" s="44" t="s">
        <v>305</v>
      </c>
      <c r="B104" s="45" t="s">
        <v>306</v>
      </c>
      <c r="C104" s="45" t="s">
        <v>321</v>
      </c>
      <c r="D104" s="45" t="s">
        <v>322</v>
      </c>
      <c r="E104" s="45" t="s">
        <v>323</v>
      </c>
      <c r="F104" s="44" t="s">
        <v>14</v>
      </c>
      <c r="G104" s="44" t="s">
        <v>14</v>
      </c>
      <c r="H104" s="44" t="s">
        <v>51</v>
      </c>
      <c r="I104" s="44">
        <v>1</v>
      </c>
      <c r="J104" s="44">
        <v>4</v>
      </c>
      <c r="K104" s="44">
        <v>4</v>
      </c>
      <c r="L104" s="46">
        <f t="shared" si="12"/>
        <v>9</v>
      </c>
      <c r="N104" s="43" t="b">
        <f t="shared" si="10"/>
        <v>1</v>
      </c>
    </row>
    <row r="105" spans="1:14" ht="31.5" hidden="1">
      <c r="A105" s="44" t="s">
        <v>305</v>
      </c>
      <c r="B105" s="45" t="s">
        <v>306</v>
      </c>
      <c r="C105" s="45" t="s">
        <v>324</v>
      </c>
      <c r="D105" s="45" t="s">
        <v>325</v>
      </c>
      <c r="E105" s="45" t="s">
        <v>326</v>
      </c>
      <c r="F105" s="44" t="s">
        <v>14</v>
      </c>
      <c r="G105" s="44" t="s">
        <v>14</v>
      </c>
      <c r="H105" s="44" t="s">
        <v>51</v>
      </c>
      <c r="I105" s="44">
        <v>2</v>
      </c>
      <c r="J105" s="44">
        <v>3</v>
      </c>
      <c r="K105" s="44">
        <v>3</v>
      </c>
      <c r="L105" s="46">
        <f t="shared" si="12"/>
        <v>8</v>
      </c>
      <c r="N105" s="43" t="b">
        <f t="shared" si="10"/>
        <v>0</v>
      </c>
    </row>
    <row r="106" spans="1:14" hidden="1">
      <c r="A106" s="44" t="s">
        <v>305</v>
      </c>
      <c r="B106" s="45" t="s">
        <v>306</v>
      </c>
      <c r="C106" s="45" t="s">
        <v>327</v>
      </c>
      <c r="D106" s="45" t="s">
        <v>328</v>
      </c>
      <c r="E106" s="45" t="s">
        <v>329</v>
      </c>
      <c r="F106" s="44" t="s">
        <v>14</v>
      </c>
      <c r="G106" s="44" t="s">
        <v>14</v>
      </c>
      <c r="H106" s="44" t="s">
        <v>51</v>
      </c>
      <c r="I106" s="44">
        <v>2</v>
      </c>
      <c r="J106" s="44">
        <v>3</v>
      </c>
      <c r="K106" s="44">
        <v>3</v>
      </c>
      <c r="L106" s="46">
        <f t="shared" si="12"/>
        <v>8</v>
      </c>
      <c r="N106" s="43" t="b">
        <f t="shared" si="10"/>
        <v>0</v>
      </c>
    </row>
    <row r="107" spans="1:14" hidden="1">
      <c r="A107" s="44" t="s">
        <v>305</v>
      </c>
      <c r="B107" s="45" t="s">
        <v>306</v>
      </c>
      <c r="C107" s="45" t="s">
        <v>330</v>
      </c>
      <c r="D107" s="45" t="s">
        <v>328</v>
      </c>
      <c r="E107" s="45" t="s">
        <v>331</v>
      </c>
      <c r="F107" s="44" t="s">
        <v>14</v>
      </c>
      <c r="G107" s="44" t="s">
        <v>14</v>
      </c>
      <c r="H107" s="44" t="s">
        <v>51</v>
      </c>
      <c r="I107" s="44">
        <v>2</v>
      </c>
      <c r="J107" s="44">
        <v>3</v>
      </c>
      <c r="K107" s="44">
        <v>3</v>
      </c>
      <c r="L107" s="46">
        <f t="shared" si="12"/>
        <v>8</v>
      </c>
      <c r="N107" s="43" t="b">
        <f t="shared" si="10"/>
        <v>0</v>
      </c>
    </row>
    <row r="108" spans="1:14" ht="31.5">
      <c r="A108" s="44" t="s">
        <v>305</v>
      </c>
      <c r="B108" s="45" t="s">
        <v>306</v>
      </c>
      <c r="C108" s="45" t="s">
        <v>332</v>
      </c>
      <c r="D108" s="45" t="s">
        <v>333</v>
      </c>
      <c r="E108" s="45" t="s">
        <v>334</v>
      </c>
      <c r="F108" s="44" t="s">
        <v>14</v>
      </c>
      <c r="G108" s="44" t="s">
        <v>14</v>
      </c>
      <c r="H108" s="44" t="s">
        <v>51</v>
      </c>
      <c r="I108" s="44">
        <v>3</v>
      </c>
      <c r="J108" s="44">
        <v>4</v>
      </c>
      <c r="K108" s="44">
        <v>4</v>
      </c>
      <c r="L108" s="46">
        <f t="shared" si="12"/>
        <v>11</v>
      </c>
      <c r="N108" s="43" t="b">
        <f t="shared" si="10"/>
        <v>1</v>
      </c>
    </row>
    <row r="109" spans="1:14" hidden="1">
      <c r="A109" s="44" t="s">
        <v>335</v>
      </c>
      <c r="B109" s="45" t="s">
        <v>336</v>
      </c>
      <c r="C109" s="45" t="s">
        <v>337</v>
      </c>
      <c r="D109" s="51" t="s">
        <v>338</v>
      </c>
      <c r="E109" s="45" t="s">
        <v>339</v>
      </c>
      <c r="F109" s="44" t="s">
        <v>14</v>
      </c>
      <c r="G109" s="44" t="s">
        <v>14</v>
      </c>
      <c r="H109" s="44" t="s">
        <v>51</v>
      </c>
      <c r="I109" s="44">
        <v>4</v>
      </c>
      <c r="J109" s="44">
        <v>2</v>
      </c>
      <c r="K109" s="44">
        <v>2</v>
      </c>
      <c r="L109" s="46">
        <f t="shared" si="12"/>
        <v>8</v>
      </c>
      <c r="N109" s="43" t="b">
        <f t="shared" si="10"/>
        <v>1</v>
      </c>
    </row>
    <row r="110" spans="1:14" hidden="1">
      <c r="A110" s="44" t="s">
        <v>335</v>
      </c>
      <c r="B110" s="45" t="s">
        <v>336</v>
      </c>
      <c r="C110" s="45" t="s">
        <v>340</v>
      </c>
      <c r="D110" s="51" t="s">
        <v>341</v>
      </c>
      <c r="E110" s="45" t="s">
        <v>151</v>
      </c>
      <c r="F110" s="44" t="s">
        <v>38</v>
      </c>
      <c r="G110" s="44" t="s">
        <v>38</v>
      </c>
      <c r="H110" s="44" t="s">
        <v>51</v>
      </c>
      <c r="I110" s="44">
        <v>4</v>
      </c>
      <c r="J110" s="44">
        <v>2</v>
      </c>
      <c r="K110" s="44">
        <v>2</v>
      </c>
      <c r="L110" s="46">
        <f t="shared" si="12"/>
        <v>8</v>
      </c>
      <c r="N110" s="43" t="b">
        <f t="shared" si="10"/>
        <v>1</v>
      </c>
    </row>
    <row r="111" spans="1:14" hidden="1">
      <c r="A111" s="44" t="s">
        <v>342</v>
      </c>
      <c r="B111" s="45" t="s">
        <v>343</v>
      </c>
      <c r="C111" s="45" t="s">
        <v>344</v>
      </c>
      <c r="D111" s="45" t="s">
        <v>345</v>
      </c>
      <c r="E111" s="44" t="s">
        <v>346</v>
      </c>
      <c r="F111" s="44" t="s">
        <v>347</v>
      </c>
      <c r="G111" s="44" t="s">
        <v>347</v>
      </c>
      <c r="H111" s="44" t="s">
        <v>51</v>
      </c>
      <c r="I111" s="44">
        <v>1</v>
      </c>
      <c r="J111" s="44">
        <v>3</v>
      </c>
      <c r="K111" s="44">
        <v>3</v>
      </c>
      <c r="L111" s="46">
        <f t="shared" si="12"/>
        <v>7</v>
      </c>
      <c r="N111" s="43" t="b">
        <f t="shared" si="10"/>
        <v>0</v>
      </c>
    </row>
  </sheetData>
  <autoFilter ref="A1:N111" xr:uid="{00000000-0001-0000-0000-000000000000}">
    <filterColumn colId="1">
      <filters>
        <filter val="服務"/>
        <filter val="資料庫"/>
        <filter val="電腦主機"/>
        <filter val="網路設備"/>
        <filter val="環境設備"/>
      </filters>
    </filterColumn>
    <filterColumn colId="8" showButton="0"/>
    <filterColumn colId="9" showButton="0"/>
    <filterColumn colId="11">
      <filters>
        <filter val="10"/>
        <filter val="11"/>
        <filter val="12"/>
      </filters>
    </filterColumn>
  </autoFilter>
  <mergeCells count="1">
    <mergeCell ref="I1:K1"/>
  </mergeCells>
  <phoneticPr fontId="4" type="noConversion"/>
  <pageMargins left="0.59055118110236227" right="0.59055118110236227" top="0.74803149606299213" bottom="0.74803149606299213" header="0.31496062992125984" footer="0.31496062992125984"/>
  <pageSetup paperSize="9" scale="95" orientation="landscape" r:id="rId1"/>
  <headerFooter>
    <oddFooter>第 &amp;P 頁，共 &amp;N 頁</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4"/>
  <sheetViews>
    <sheetView topLeftCell="A49" zoomScale="70" zoomScaleNormal="70" workbookViewId="0">
      <selection activeCell="D4" sqref="D4"/>
    </sheetView>
  </sheetViews>
  <sheetFormatPr defaultColWidth="9" defaultRowHeight="16.5"/>
  <cols>
    <col min="1" max="1" width="9" style="12"/>
    <col min="2" max="2" width="9" style="11"/>
    <col min="3" max="3" width="9" style="8"/>
    <col min="4" max="4" width="26.25" style="10" customWidth="1"/>
    <col min="5" max="5" width="39.625" style="10" customWidth="1"/>
    <col min="6" max="6" width="9" style="10" bestFit="1" customWidth="1"/>
    <col min="7" max="7" width="9" style="11" bestFit="1" customWidth="1"/>
    <col min="8" max="8" width="12.375" style="11" customWidth="1"/>
    <col min="9" max="9" width="7.375" style="11" customWidth="1"/>
    <col min="10" max="11" width="9" style="11" customWidth="1"/>
    <col min="12" max="16384" width="9" style="11"/>
  </cols>
  <sheetData>
    <row r="1" spans="1:13" ht="37.5">
      <c r="A1" s="38" t="s">
        <v>0</v>
      </c>
      <c r="B1" s="38" t="s">
        <v>1</v>
      </c>
      <c r="C1" s="38" t="s">
        <v>2</v>
      </c>
      <c r="D1" s="38" t="s">
        <v>3</v>
      </c>
      <c r="E1" s="38" t="s">
        <v>4</v>
      </c>
      <c r="F1" s="38" t="s">
        <v>5</v>
      </c>
      <c r="G1" s="38" t="s">
        <v>6</v>
      </c>
      <c r="H1" s="38" t="s">
        <v>7</v>
      </c>
      <c r="I1" s="75" t="s">
        <v>8</v>
      </c>
      <c r="J1" s="75"/>
      <c r="K1" s="75"/>
      <c r="L1" s="38" t="s">
        <v>9</v>
      </c>
    </row>
    <row r="2" spans="1:13" ht="15.75">
      <c r="A2" s="44" t="s">
        <v>10</v>
      </c>
      <c r="B2" s="45" t="s">
        <v>11</v>
      </c>
      <c r="C2" s="45" t="s">
        <v>12</v>
      </c>
      <c r="D2" s="45" t="s">
        <v>13</v>
      </c>
      <c r="E2" s="45" t="s">
        <v>13</v>
      </c>
      <c r="F2" s="44" t="s">
        <v>14</v>
      </c>
      <c r="G2" s="44" t="s">
        <v>14</v>
      </c>
      <c r="H2" s="44" t="s">
        <v>15</v>
      </c>
      <c r="I2" s="44">
        <v>4</v>
      </c>
      <c r="J2" s="44">
        <v>2</v>
      </c>
      <c r="K2" s="44">
        <v>2</v>
      </c>
      <c r="L2" s="46">
        <v>8</v>
      </c>
    </row>
    <row r="3" spans="1:13" ht="15.75">
      <c r="A3" s="44" t="s">
        <v>10</v>
      </c>
      <c r="B3" s="45" t="s">
        <v>11</v>
      </c>
      <c r="C3" s="45" t="s">
        <v>24</v>
      </c>
      <c r="D3" s="45" t="s">
        <v>25</v>
      </c>
      <c r="E3" s="45" t="s">
        <v>26</v>
      </c>
      <c r="F3" s="44" t="s">
        <v>14</v>
      </c>
      <c r="G3" s="44" t="s">
        <v>14</v>
      </c>
      <c r="H3" s="44" t="s">
        <v>15</v>
      </c>
      <c r="I3" s="44">
        <v>4</v>
      </c>
      <c r="J3" s="44">
        <v>3</v>
      </c>
      <c r="K3" s="44">
        <v>3</v>
      </c>
      <c r="L3" s="46">
        <v>10</v>
      </c>
    </row>
    <row r="4" spans="1:13" ht="15.75">
      <c r="A4" s="44" t="s">
        <v>10</v>
      </c>
      <c r="B4" s="45" t="s">
        <v>11</v>
      </c>
      <c r="C4" s="45" t="s">
        <v>42</v>
      </c>
      <c r="D4" s="45" t="s">
        <v>43</v>
      </c>
      <c r="E4" s="45" t="s">
        <v>44</v>
      </c>
      <c r="F4" s="44" t="s">
        <v>14</v>
      </c>
      <c r="G4" s="44" t="s">
        <v>45</v>
      </c>
      <c r="H4" s="44" t="s">
        <v>46</v>
      </c>
      <c r="I4" s="44">
        <v>4</v>
      </c>
      <c r="J4" s="44">
        <v>2</v>
      </c>
      <c r="K4" s="44">
        <v>2</v>
      </c>
      <c r="L4" s="46">
        <v>8</v>
      </c>
    </row>
    <row r="5" spans="1:13" ht="31.5">
      <c r="A5" s="44" t="s">
        <v>10</v>
      </c>
      <c r="B5" s="45" t="s">
        <v>47</v>
      </c>
      <c r="C5" s="45" t="s">
        <v>48</v>
      </c>
      <c r="D5" s="45" t="s">
        <v>49</v>
      </c>
      <c r="E5" s="45" t="s">
        <v>50</v>
      </c>
      <c r="F5" s="44" t="s">
        <v>14</v>
      </c>
      <c r="G5" s="44" t="s">
        <v>38</v>
      </c>
      <c r="H5" s="44" t="s">
        <v>51</v>
      </c>
      <c r="I5" s="44">
        <v>4</v>
      </c>
      <c r="J5" s="44">
        <v>4</v>
      </c>
      <c r="K5" s="44">
        <v>4</v>
      </c>
      <c r="L5" s="46">
        <v>12</v>
      </c>
    </row>
    <row r="6" spans="1:13" ht="15.75">
      <c r="A6" s="44" t="s">
        <v>10</v>
      </c>
      <c r="B6" s="45" t="s">
        <v>47</v>
      </c>
      <c r="C6" s="45" t="s">
        <v>57</v>
      </c>
      <c r="D6" s="45" t="s">
        <v>58</v>
      </c>
      <c r="E6" s="45" t="s">
        <v>59</v>
      </c>
      <c r="F6" s="44" t="s">
        <v>14</v>
      </c>
      <c r="G6" s="44" t="s">
        <v>14</v>
      </c>
      <c r="H6" s="44" t="s">
        <v>51</v>
      </c>
      <c r="I6" s="44">
        <v>4</v>
      </c>
      <c r="J6" s="44">
        <v>4</v>
      </c>
      <c r="K6" s="44">
        <v>4</v>
      </c>
      <c r="L6" s="46">
        <v>12</v>
      </c>
    </row>
    <row r="7" spans="1:13" ht="15.75">
      <c r="A7" s="44" t="s">
        <v>10</v>
      </c>
      <c r="B7" s="45" t="s">
        <v>47</v>
      </c>
      <c r="C7" s="45" t="s">
        <v>63</v>
      </c>
      <c r="D7" s="45" t="s">
        <v>64</v>
      </c>
      <c r="E7" s="45" t="s">
        <v>65</v>
      </c>
      <c r="F7" s="44" t="s">
        <v>14</v>
      </c>
      <c r="G7" s="44" t="s">
        <v>38</v>
      </c>
      <c r="H7" s="44" t="s">
        <v>51</v>
      </c>
      <c r="I7" s="44">
        <v>4</v>
      </c>
      <c r="J7" s="44">
        <v>4</v>
      </c>
      <c r="K7" s="44">
        <v>4</v>
      </c>
      <c r="L7" s="46">
        <v>12</v>
      </c>
    </row>
    <row r="8" spans="1:13" ht="31.5">
      <c r="A8" s="44" t="s">
        <v>10</v>
      </c>
      <c r="B8" s="45" t="s">
        <v>47</v>
      </c>
      <c r="C8" s="45" t="s">
        <v>66</v>
      </c>
      <c r="D8" s="45" t="s">
        <v>67</v>
      </c>
      <c r="E8" s="45" t="s">
        <v>68</v>
      </c>
      <c r="F8" s="44" t="s">
        <v>14</v>
      </c>
      <c r="G8" s="44" t="s">
        <v>38</v>
      </c>
      <c r="H8" s="44" t="s">
        <v>51</v>
      </c>
      <c r="I8" s="44">
        <v>4</v>
      </c>
      <c r="J8" s="44">
        <v>4</v>
      </c>
      <c r="K8" s="44">
        <v>4</v>
      </c>
      <c r="L8" s="46">
        <v>12</v>
      </c>
    </row>
    <row r="9" spans="1:13" ht="15.75">
      <c r="A9" s="44" t="s">
        <v>10</v>
      </c>
      <c r="B9" s="45" t="s">
        <v>47</v>
      </c>
      <c r="C9" s="45" t="s">
        <v>69</v>
      </c>
      <c r="D9" s="45" t="s">
        <v>70</v>
      </c>
      <c r="E9" s="45" t="s">
        <v>71</v>
      </c>
      <c r="F9" s="44" t="s">
        <v>14</v>
      </c>
      <c r="G9" s="44" t="s">
        <v>14</v>
      </c>
      <c r="H9" s="44" t="s">
        <v>51</v>
      </c>
      <c r="I9" s="44">
        <v>3</v>
      </c>
      <c r="J9" s="44">
        <v>4</v>
      </c>
      <c r="K9" s="44">
        <v>3</v>
      </c>
      <c r="L9" s="46">
        <v>10</v>
      </c>
    </row>
    <row r="10" spans="1:13" ht="15.75">
      <c r="A10" s="44" t="s">
        <v>10</v>
      </c>
      <c r="B10" s="45" t="s">
        <v>47</v>
      </c>
      <c r="C10" s="45" t="s">
        <v>72</v>
      </c>
      <c r="D10" s="45" t="s">
        <v>73</v>
      </c>
      <c r="E10" s="45" t="s">
        <v>74</v>
      </c>
      <c r="F10" s="44" t="s">
        <v>14</v>
      </c>
      <c r="G10" s="44" t="s">
        <v>14</v>
      </c>
      <c r="H10" s="44" t="s">
        <v>51</v>
      </c>
      <c r="I10" s="44">
        <v>3</v>
      </c>
      <c r="J10" s="44">
        <v>4</v>
      </c>
      <c r="K10" s="44">
        <v>2</v>
      </c>
      <c r="L10" s="46">
        <v>9</v>
      </c>
    </row>
    <row r="11" spans="1:13" ht="15.75">
      <c r="A11" s="44" t="s">
        <v>10</v>
      </c>
      <c r="B11" s="45" t="s">
        <v>47</v>
      </c>
      <c r="C11" s="45" t="s">
        <v>75</v>
      </c>
      <c r="D11" s="45" t="s">
        <v>76</v>
      </c>
      <c r="E11" s="45" t="s">
        <v>77</v>
      </c>
      <c r="F11" s="44" t="s">
        <v>14</v>
      </c>
      <c r="G11" s="44" t="s">
        <v>14</v>
      </c>
      <c r="H11" s="44" t="s">
        <v>51</v>
      </c>
      <c r="I11" s="44">
        <v>4</v>
      </c>
      <c r="J11" s="44">
        <v>4</v>
      </c>
      <c r="K11" s="44">
        <v>3</v>
      </c>
      <c r="L11" s="46">
        <v>11</v>
      </c>
    </row>
    <row r="12" spans="1:13" ht="15.75">
      <c r="A12" s="44" t="s">
        <v>78</v>
      </c>
      <c r="B12" s="45" t="s">
        <v>79</v>
      </c>
      <c r="C12" s="45" t="s">
        <v>80</v>
      </c>
      <c r="D12" s="45" t="s">
        <v>81</v>
      </c>
      <c r="E12" s="45" t="s">
        <v>82</v>
      </c>
      <c r="F12" s="44" t="s">
        <v>14</v>
      </c>
      <c r="G12" s="44" t="s">
        <v>38</v>
      </c>
      <c r="H12" s="44" t="s">
        <v>51</v>
      </c>
      <c r="I12" s="44">
        <v>3</v>
      </c>
      <c r="J12" s="44">
        <v>4</v>
      </c>
      <c r="K12" s="44">
        <v>4</v>
      </c>
      <c r="L12" s="46">
        <v>11</v>
      </c>
    </row>
    <row r="13" spans="1:13" ht="15.75">
      <c r="A13" s="44" t="s">
        <v>78</v>
      </c>
      <c r="B13" s="45" t="s">
        <v>79</v>
      </c>
      <c r="C13" s="45" t="s">
        <v>83</v>
      </c>
      <c r="D13" s="45" t="s">
        <v>84</v>
      </c>
      <c r="E13" s="45" t="s">
        <v>85</v>
      </c>
      <c r="F13" s="44" t="s">
        <v>14</v>
      </c>
      <c r="G13" s="44" t="s">
        <v>38</v>
      </c>
      <c r="H13" s="44" t="s">
        <v>51</v>
      </c>
      <c r="I13" s="44">
        <v>4</v>
      </c>
      <c r="J13" s="44">
        <v>4</v>
      </c>
      <c r="K13" s="44">
        <v>4</v>
      </c>
      <c r="L13" s="46">
        <v>12</v>
      </c>
    </row>
    <row r="14" spans="1:13" ht="15.75">
      <c r="A14" s="44" t="s">
        <v>78</v>
      </c>
      <c r="B14" s="45" t="s">
        <v>79</v>
      </c>
      <c r="C14" s="45" t="s">
        <v>86</v>
      </c>
      <c r="D14" s="45" t="s">
        <v>87</v>
      </c>
      <c r="E14" s="45" t="s">
        <v>88</v>
      </c>
      <c r="F14" s="44" t="s">
        <v>14</v>
      </c>
      <c r="G14" s="44" t="s">
        <v>14</v>
      </c>
      <c r="H14" s="44" t="s">
        <v>51</v>
      </c>
      <c r="I14" s="44">
        <v>3</v>
      </c>
      <c r="J14" s="44">
        <v>4</v>
      </c>
      <c r="K14" s="44">
        <v>4</v>
      </c>
      <c r="L14" s="46">
        <v>11</v>
      </c>
    </row>
    <row r="15" spans="1:13" ht="18.75">
      <c r="A15" s="44" t="s">
        <v>104</v>
      </c>
      <c r="B15" s="45" t="s">
        <v>105</v>
      </c>
      <c r="C15" s="45" t="s">
        <v>106</v>
      </c>
      <c r="D15" s="45" t="s">
        <v>107</v>
      </c>
      <c r="E15" s="45" t="s">
        <v>108</v>
      </c>
      <c r="F15" s="44" t="s">
        <v>14</v>
      </c>
      <c r="G15" s="44" t="s">
        <v>14</v>
      </c>
      <c r="H15" s="44" t="s">
        <v>51</v>
      </c>
      <c r="I15" s="44">
        <v>2</v>
      </c>
      <c r="J15" s="44">
        <v>3</v>
      </c>
      <c r="K15" s="44">
        <v>4</v>
      </c>
      <c r="L15" s="46">
        <v>9</v>
      </c>
      <c r="M15" s="13"/>
    </row>
    <row r="16" spans="1:13" ht="15.75">
      <c r="A16" s="44" t="s">
        <v>104</v>
      </c>
      <c r="B16" s="45" t="s">
        <v>105</v>
      </c>
      <c r="C16" s="45" t="s">
        <v>109</v>
      </c>
      <c r="D16" s="45" t="s">
        <v>110</v>
      </c>
      <c r="E16" s="45" t="s">
        <v>111</v>
      </c>
      <c r="F16" s="44" t="s">
        <v>14</v>
      </c>
      <c r="G16" s="44" t="s">
        <v>14</v>
      </c>
      <c r="H16" s="44" t="s">
        <v>51</v>
      </c>
      <c r="I16" s="44">
        <v>2</v>
      </c>
      <c r="J16" s="44">
        <v>3</v>
      </c>
      <c r="K16" s="44">
        <v>4</v>
      </c>
      <c r="L16" s="46">
        <v>9</v>
      </c>
    </row>
    <row r="17" spans="1:13" ht="15.75">
      <c r="A17" s="44" t="s">
        <v>104</v>
      </c>
      <c r="B17" s="45" t="s">
        <v>105</v>
      </c>
      <c r="C17" s="45" t="s">
        <v>112</v>
      </c>
      <c r="D17" s="45" t="s">
        <v>113</v>
      </c>
      <c r="E17" s="45" t="s">
        <v>114</v>
      </c>
      <c r="F17" s="44" t="s">
        <v>14</v>
      </c>
      <c r="G17" s="44" t="s">
        <v>14</v>
      </c>
      <c r="H17" s="44" t="s">
        <v>51</v>
      </c>
      <c r="I17" s="44">
        <v>2</v>
      </c>
      <c r="J17" s="44">
        <v>3</v>
      </c>
      <c r="K17" s="44">
        <v>4</v>
      </c>
      <c r="L17" s="46">
        <v>9</v>
      </c>
    </row>
    <row r="18" spans="1:13" ht="15.75">
      <c r="A18" s="44" t="s">
        <v>104</v>
      </c>
      <c r="B18" s="45" t="s">
        <v>105</v>
      </c>
      <c r="C18" s="45" t="s">
        <v>115</v>
      </c>
      <c r="D18" s="45" t="s">
        <v>110</v>
      </c>
      <c r="E18" s="45" t="s">
        <v>114</v>
      </c>
      <c r="F18" s="44" t="s">
        <v>14</v>
      </c>
      <c r="G18" s="44" t="s">
        <v>14</v>
      </c>
      <c r="H18" s="44" t="s">
        <v>51</v>
      </c>
      <c r="I18" s="44">
        <v>2</v>
      </c>
      <c r="J18" s="44">
        <v>3</v>
      </c>
      <c r="K18" s="44">
        <v>4</v>
      </c>
      <c r="L18" s="46">
        <v>9</v>
      </c>
    </row>
    <row r="19" spans="1:13" ht="15.75">
      <c r="A19" s="44" t="s">
        <v>104</v>
      </c>
      <c r="B19" s="45" t="s">
        <v>105</v>
      </c>
      <c r="C19" s="45" t="s">
        <v>116</v>
      </c>
      <c r="D19" s="45" t="s">
        <v>117</v>
      </c>
      <c r="E19" s="45" t="s">
        <v>118</v>
      </c>
      <c r="F19" s="44" t="s">
        <v>14</v>
      </c>
      <c r="G19" s="44" t="s">
        <v>14</v>
      </c>
      <c r="H19" s="44" t="s">
        <v>51</v>
      </c>
      <c r="I19" s="44">
        <v>2</v>
      </c>
      <c r="J19" s="44">
        <v>3</v>
      </c>
      <c r="K19" s="44">
        <v>4</v>
      </c>
      <c r="L19" s="46">
        <v>9</v>
      </c>
    </row>
    <row r="20" spans="1:13" ht="15.75">
      <c r="A20" s="44" t="s">
        <v>104</v>
      </c>
      <c r="B20" s="45" t="s">
        <v>105</v>
      </c>
      <c r="C20" s="45" t="s">
        <v>119</v>
      </c>
      <c r="D20" s="45" t="s">
        <v>120</v>
      </c>
      <c r="E20" s="45" t="s">
        <v>121</v>
      </c>
      <c r="F20" s="44" t="s">
        <v>14</v>
      </c>
      <c r="G20" s="44" t="s">
        <v>14</v>
      </c>
      <c r="H20" s="44" t="s">
        <v>51</v>
      </c>
      <c r="I20" s="44">
        <v>2</v>
      </c>
      <c r="J20" s="44">
        <v>3</v>
      </c>
      <c r="K20" s="44">
        <v>4</v>
      </c>
      <c r="L20" s="46">
        <v>9</v>
      </c>
    </row>
    <row r="21" spans="1:13">
      <c r="A21" s="44" t="s">
        <v>104</v>
      </c>
      <c r="B21" s="45" t="s">
        <v>105</v>
      </c>
      <c r="C21" s="45" t="s">
        <v>125</v>
      </c>
      <c r="D21" s="45" t="s">
        <v>126</v>
      </c>
      <c r="E21" s="45" t="s">
        <v>127</v>
      </c>
      <c r="F21" s="44" t="s">
        <v>14</v>
      </c>
      <c r="G21" s="44" t="s">
        <v>14</v>
      </c>
      <c r="H21" s="44" t="s">
        <v>51</v>
      </c>
      <c r="I21" s="44">
        <v>2</v>
      </c>
      <c r="J21" s="44">
        <v>3</v>
      </c>
      <c r="K21" s="44">
        <v>4</v>
      </c>
      <c r="L21" s="46">
        <v>9</v>
      </c>
      <c r="M21" s="39"/>
    </row>
    <row r="22" spans="1:13" ht="15.75">
      <c r="A22" s="44" t="s">
        <v>104</v>
      </c>
      <c r="B22" s="45" t="s">
        <v>105</v>
      </c>
      <c r="C22" s="45" t="s">
        <v>134</v>
      </c>
      <c r="D22" s="45" t="s">
        <v>135</v>
      </c>
      <c r="E22" s="45" t="s">
        <v>136</v>
      </c>
      <c r="F22" s="44" t="s">
        <v>14</v>
      </c>
      <c r="G22" s="44" t="s">
        <v>14</v>
      </c>
      <c r="H22" s="44" t="s">
        <v>51</v>
      </c>
      <c r="I22" s="44">
        <v>2</v>
      </c>
      <c r="J22" s="44">
        <v>3</v>
      </c>
      <c r="K22" s="44">
        <v>4</v>
      </c>
      <c r="L22" s="46">
        <v>9</v>
      </c>
    </row>
    <row r="23" spans="1:13" ht="15.75">
      <c r="A23" s="44" t="s">
        <v>104</v>
      </c>
      <c r="B23" s="45" t="s">
        <v>105</v>
      </c>
      <c r="C23" s="45" t="s">
        <v>137</v>
      </c>
      <c r="D23" s="45" t="s">
        <v>138</v>
      </c>
      <c r="E23" s="45" t="s">
        <v>136</v>
      </c>
      <c r="F23" s="44" t="s">
        <v>14</v>
      </c>
      <c r="G23" s="44" t="s">
        <v>14</v>
      </c>
      <c r="H23" s="44" t="s">
        <v>51</v>
      </c>
      <c r="I23" s="44">
        <v>2</v>
      </c>
      <c r="J23" s="44">
        <v>3</v>
      </c>
      <c r="K23" s="44">
        <v>4</v>
      </c>
      <c r="L23" s="46">
        <v>9</v>
      </c>
    </row>
    <row r="24" spans="1:13" ht="15.75">
      <c r="A24" s="44" t="s">
        <v>104</v>
      </c>
      <c r="B24" s="45" t="s">
        <v>105</v>
      </c>
      <c r="C24" s="45" t="s">
        <v>139</v>
      </c>
      <c r="D24" s="45" t="s">
        <v>140</v>
      </c>
      <c r="E24" s="45" t="s">
        <v>141</v>
      </c>
      <c r="F24" s="44" t="s">
        <v>14</v>
      </c>
      <c r="G24" s="44" t="s">
        <v>14</v>
      </c>
      <c r="H24" s="44" t="s">
        <v>51</v>
      </c>
      <c r="I24" s="44">
        <v>2</v>
      </c>
      <c r="J24" s="44">
        <v>3</v>
      </c>
      <c r="K24" s="44">
        <v>4</v>
      </c>
      <c r="L24" s="46">
        <v>9</v>
      </c>
    </row>
    <row r="25" spans="1:13" s="14" customFormat="1" ht="32.25" customHeight="1">
      <c r="A25" s="44" t="s">
        <v>104</v>
      </c>
      <c r="B25" s="45" t="s">
        <v>105</v>
      </c>
      <c r="C25" s="45" t="s">
        <v>142</v>
      </c>
      <c r="D25" s="49" t="s">
        <v>143</v>
      </c>
      <c r="E25" s="49" t="s">
        <v>144</v>
      </c>
      <c r="F25" s="44" t="s">
        <v>14</v>
      </c>
      <c r="G25" s="44" t="s">
        <v>14</v>
      </c>
      <c r="H25" s="46" t="s">
        <v>51</v>
      </c>
      <c r="I25" s="44">
        <v>2</v>
      </c>
      <c r="J25" s="44">
        <v>3</v>
      </c>
      <c r="K25" s="44">
        <v>4</v>
      </c>
      <c r="L25" s="46">
        <v>9</v>
      </c>
      <c r="M25" s="13"/>
    </row>
    <row r="26" spans="1:13" ht="15.75">
      <c r="A26" s="44" t="s">
        <v>104</v>
      </c>
      <c r="B26" s="45" t="s">
        <v>105</v>
      </c>
      <c r="C26" s="45" t="s">
        <v>145</v>
      </c>
      <c r="D26" s="49" t="s">
        <v>146</v>
      </c>
      <c r="E26" s="49" t="s">
        <v>147</v>
      </c>
      <c r="F26" s="44" t="s">
        <v>14</v>
      </c>
      <c r="G26" s="44" t="s">
        <v>14</v>
      </c>
      <c r="H26" s="46" t="s">
        <v>51</v>
      </c>
      <c r="I26" s="44">
        <v>2</v>
      </c>
      <c r="J26" s="44">
        <v>3</v>
      </c>
      <c r="K26" s="44">
        <v>4</v>
      </c>
      <c r="L26" s="46">
        <v>9</v>
      </c>
    </row>
    <row r="27" spans="1:13" ht="31.5">
      <c r="A27" s="44" t="s">
        <v>153</v>
      </c>
      <c r="B27" s="45" t="s">
        <v>154</v>
      </c>
      <c r="C27" s="45" t="s">
        <v>155</v>
      </c>
      <c r="D27" s="45" t="s">
        <v>156</v>
      </c>
      <c r="E27" s="45" t="s">
        <v>157</v>
      </c>
      <c r="F27" s="44" t="s">
        <v>14</v>
      </c>
      <c r="G27" s="44" t="s">
        <v>14</v>
      </c>
      <c r="H27" s="46" t="s">
        <v>158</v>
      </c>
      <c r="I27" s="44">
        <v>4</v>
      </c>
      <c r="J27" s="44">
        <v>4</v>
      </c>
      <c r="K27" s="44">
        <v>4</v>
      </c>
      <c r="L27" s="46">
        <v>12</v>
      </c>
    </row>
    <row r="28" spans="1:13" ht="15.75">
      <c r="A28" s="44" t="s">
        <v>153</v>
      </c>
      <c r="B28" s="45" t="s">
        <v>154</v>
      </c>
      <c r="C28" s="45" t="s">
        <v>159</v>
      </c>
      <c r="D28" s="45" t="s">
        <v>160</v>
      </c>
      <c r="E28" s="45" t="s">
        <v>161</v>
      </c>
      <c r="F28" s="44" t="s">
        <v>14</v>
      </c>
      <c r="G28" s="44" t="s">
        <v>14</v>
      </c>
      <c r="H28" s="44" t="s">
        <v>51</v>
      </c>
      <c r="I28" s="44">
        <v>3</v>
      </c>
      <c r="J28" s="44">
        <v>4</v>
      </c>
      <c r="K28" s="44">
        <v>4</v>
      </c>
      <c r="L28" s="46">
        <v>11</v>
      </c>
    </row>
    <row r="29" spans="1:13" ht="15.75">
      <c r="A29" s="44" t="s">
        <v>153</v>
      </c>
      <c r="B29" s="45" t="s">
        <v>154</v>
      </c>
      <c r="C29" s="45" t="s">
        <v>162</v>
      </c>
      <c r="D29" s="45" t="s">
        <v>163</v>
      </c>
      <c r="E29" s="45" t="s">
        <v>164</v>
      </c>
      <c r="F29" s="44" t="s">
        <v>14</v>
      </c>
      <c r="G29" s="44" t="s">
        <v>14</v>
      </c>
      <c r="H29" s="44" t="s">
        <v>51</v>
      </c>
      <c r="I29" s="44">
        <v>3</v>
      </c>
      <c r="J29" s="44">
        <v>4</v>
      </c>
      <c r="K29" s="44">
        <v>4</v>
      </c>
      <c r="L29" s="46">
        <v>11</v>
      </c>
    </row>
    <row r="30" spans="1:13" ht="15.75">
      <c r="A30" s="44" t="s">
        <v>153</v>
      </c>
      <c r="B30" s="45" t="s">
        <v>154</v>
      </c>
      <c r="C30" s="45" t="s">
        <v>165</v>
      </c>
      <c r="D30" s="45" t="s">
        <v>166</v>
      </c>
      <c r="E30" s="45" t="s">
        <v>167</v>
      </c>
      <c r="F30" s="44" t="s">
        <v>14</v>
      </c>
      <c r="G30" s="44" t="s">
        <v>14</v>
      </c>
      <c r="H30" s="44" t="s">
        <v>51</v>
      </c>
      <c r="I30" s="44">
        <v>3</v>
      </c>
      <c r="J30" s="44">
        <v>4</v>
      </c>
      <c r="K30" s="44">
        <v>4</v>
      </c>
      <c r="L30" s="46">
        <v>11</v>
      </c>
    </row>
    <row r="31" spans="1:13" ht="15.75">
      <c r="A31" s="44" t="s">
        <v>153</v>
      </c>
      <c r="B31" s="45" t="s">
        <v>154</v>
      </c>
      <c r="C31" s="45" t="s">
        <v>174</v>
      </c>
      <c r="D31" s="45" t="s">
        <v>175</v>
      </c>
      <c r="E31" s="45" t="s">
        <v>176</v>
      </c>
      <c r="F31" s="44" t="s">
        <v>14</v>
      </c>
      <c r="G31" s="44" t="s">
        <v>14</v>
      </c>
      <c r="H31" s="44" t="s">
        <v>177</v>
      </c>
      <c r="I31" s="44">
        <v>3</v>
      </c>
      <c r="J31" s="44">
        <v>4</v>
      </c>
      <c r="K31" s="44">
        <v>4</v>
      </c>
      <c r="L31" s="46">
        <v>11</v>
      </c>
    </row>
    <row r="32" spans="1:13" ht="15.75">
      <c r="A32" s="44" t="s">
        <v>153</v>
      </c>
      <c r="B32" s="45" t="s">
        <v>154</v>
      </c>
      <c r="C32" s="45" t="s">
        <v>195</v>
      </c>
      <c r="D32" s="45" t="s">
        <v>196</v>
      </c>
      <c r="E32" s="45" t="s">
        <v>197</v>
      </c>
      <c r="F32" s="44" t="s">
        <v>14</v>
      </c>
      <c r="G32" s="44" t="s">
        <v>14</v>
      </c>
      <c r="H32" s="44" t="s">
        <v>51</v>
      </c>
      <c r="I32" s="44">
        <v>3</v>
      </c>
      <c r="J32" s="44">
        <v>3</v>
      </c>
      <c r="K32" s="44">
        <v>4</v>
      </c>
      <c r="L32" s="46">
        <v>10</v>
      </c>
    </row>
    <row r="33" spans="1:12" ht="15.75">
      <c r="A33" s="44" t="s">
        <v>153</v>
      </c>
      <c r="B33" s="45" t="s">
        <v>154</v>
      </c>
      <c r="C33" s="45" t="s">
        <v>198</v>
      </c>
      <c r="D33" s="45" t="s">
        <v>199</v>
      </c>
      <c r="E33" s="45" t="s">
        <v>183</v>
      </c>
      <c r="F33" s="44" t="s">
        <v>14</v>
      </c>
      <c r="G33" s="44" t="s">
        <v>14</v>
      </c>
      <c r="H33" s="44" t="s">
        <v>51</v>
      </c>
      <c r="I33" s="44">
        <v>3</v>
      </c>
      <c r="J33" s="44">
        <v>3</v>
      </c>
      <c r="K33" s="44">
        <v>4</v>
      </c>
      <c r="L33" s="46">
        <v>10</v>
      </c>
    </row>
    <row r="34" spans="1:12" ht="15.75">
      <c r="A34" s="44" t="s">
        <v>153</v>
      </c>
      <c r="B34" s="45" t="s">
        <v>154</v>
      </c>
      <c r="C34" s="45" t="s">
        <v>200</v>
      </c>
      <c r="D34" s="45" t="s">
        <v>201</v>
      </c>
      <c r="E34" s="45" t="s">
        <v>183</v>
      </c>
      <c r="F34" s="44" t="s">
        <v>14</v>
      </c>
      <c r="G34" s="44" t="s">
        <v>14</v>
      </c>
      <c r="H34" s="44" t="s">
        <v>51</v>
      </c>
      <c r="I34" s="44">
        <v>3</v>
      </c>
      <c r="J34" s="44">
        <v>3</v>
      </c>
      <c r="K34" s="44">
        <v>4</v>
      </c>
      <c r="L34" s="46">
        <v>10</v>
      </c>
    </row>
    <row r="35" spans="1:12" ht="15.75">
      <c r="A35" s="44" t="s">
        <v>202</v>
      </c>
      <c r="B35" s="45" t="s">
        <v>154</v>
      </c>
      <c r="C35" s="45" t="s">
        <v>205</v>
      </c>
      <c r="D35" s="45" t="s">
        <v>206</v>
      </c>
      <c r="E35" s="45" t="s">
        <v>207</v>
      </c>
      <c r="F35" s="44" t="s">
        <v>14</v>
      </c>
      <c r="G35" s="44" t="s">
        <v>14</v>
      </c>
      <c r="H35" s="44" t="s">
        <v>51</v>
      </c>
      <c r="I35" s="44">
        <v>3</v>
      </c>
      <c r="J35" s="44">
        <v>4</v>
      </c>
      <c r="K35" s="44">
        <v>4</v>
      </c>
      <c r="L35" s="46">
        <v>11</v>
      </c>
    </row>
    <row r="36" spans="1:12" ht="15.75">
      <c r="A36" s="44" t="s">
        <v>202</v>
      </c>
      <c r="B36" s="45" t="s">
        <v>154</v>
      </c>
      <c r="C36" s="45" t="s">
        <v>221</v>
      </c>
      <c r="D36" s="45" t="s">
        <v>222</v>
      </c>
      <c r="E36" s="45" t="s">
        <v>223</v>
      </c>
      <c r="F36" s="44" t="s">
        <v>14</v>
      </c>
      <c r="G36" s="44" t="s">
        <v>14</v>
      </c>
      <c r="H36" s="44" t="s">
        <v>51</v>
      </c>
      <c r="I36" s="44">
        <v>3</v>
      </c>
      <c r="J36" s="44">
        <v>3</v>
      </c>
      <c r="K36" s="44">
        <v>4</v>
      </c>
      <c r="L36" s="46">
        <v>10</v>
      </c>
    </row>
    <row r="37" spans="1:12" ht="94.5">
      <c r="A37" s="44" t="s">
        <v>224</v>
      </c>
      <c r="B37" s="45" t="s">
        <v>225</v>
      </c>
      <c r="C37" s="45" t="s">
        <v>226</v>
      </c>
      <c r="D37" s="45" t="s">
        <v>227</v>
      </c>
      <c r="E37" s="45" t="s">
        <v>228</v>
      </c>
      <c r="F37" s="44" t="s">
        <v>14</v>
      </c>
      <c r="G37" s="44" t="s">
        <v>14</v>
      </c>
      <c r="H37" s="44" t="s">
        <v>51</v>
      </c>
      <c r="I37" s="44">
        <v>3</v>
      </c>
      <c r="J37" s="44">
        <v>3</v>
      </c>
      <c r="K37" s="44">
        <v>4</v>
      </c>
      <c r="L37" s="46">
        <v>10</v>
      </c>
    </row>
    <row r="38" spans="1:12" ht="15.75">
      <c r="A38" s="44" t="s">
        <v>224</v>
      </c>
      <c r="B38" s="45" t="s">
        <v>225</v>
      </c>
      <c r="C38" s="45" t="s">
        <v>235</v>
      </c>
      <c r="D38" s="45" t="s">
        <v>236</v>
      </c>
      <c r="E38" s="45" t="s">
        <v>237</v>
      </c>
      <c r="F38" s="44" t="s">
        <v>14</v>
      </c>
      <c r="G38" s="44" t="s">
        <v>38</v>
      </c>
      <c r="H38" s="44" t="s">
        <v>51</v>
      </c>
      <c r="I38" s="44">
        <v>3</v>
      </c>
      <c r="J38" s="44">
        <v>4</v>
      </c>
      <c r="K38" s="44">
        <v>4</v>
      </c>
      <c r="L38" s="46">
        <v>11</v>
      </c>
    </row>
    <row r="39" spans="1:12" ht="15.75">
      <c r="A39" s="44" t="s">
        <v>224</v>
      </c>
      <c r="B39" s="45" t="s">
        <v>225</v>
      </c>
      <c r="C39" s="45" t="s">
        <v>238</v>
      </c>
      <c r="D39" s="45" t="s">
        <v>239</v>
      </c>
      <c r="E39" s="45" t="s">
        <v>240</v>
      </c>
      <c r="F39" s="44" t="s">
        <v>14</v>
      </c>
      <c r="G39" s="44" t="s">
        <v>38</v>
      </c>
      <c r="H39" s="44" t="s">
        <v>51</v>
      </c>
      <c r="I39" s="44">
        <v>4</v>
      </c>
      <c r="J39" s="44">
        <v>4</v>
      </c>
      <c r="K39" s="44">
        <v>4</v>
      </c>
      <c r="L39" s="46">
        <v>12</v>
      </c>
    </row>
    <row r="40" spans="1:12" ht="15.75">
      <c r="A40" s="44" t="s">
        <v>224</v>
      </c>
      <c r="B40" s="45" t="s">
        <v>225</v>
      </c>
      <c r="C40" s="45" t="s">
        <v>251</v>
      </c>
      <c r="D40" s="45" t="s">
        <v>252</v>
      </c>
      <c r="E40" s="45" t="s">
        <v>253</v>
      </c>
      <c r="F40" s="44" t="s">
        <v>14</v>
      </c>
      <c r="G40" s="44" t="s">
        <v>14</v>
      </c>
      <c r="H40" s="44" t="s">
        <v>51</v>
      </c>
      <c r="I40" s="44">
        <v>3</v>
      </c>
      <c r="J40" s="44">
        <v>4</v>
      </c>
      <c r="K40" s="44">
        <v>4</v>
      </c>
      <c r="L40" s="46">
        <v>11</v>
      </c>
    </row>
    <row r="41" spans="1:12" ht="15.75">
      <c r="A41" s="44" t="s">
        <v>224</v>
      </c>
      <c r="B41" s="45" t="s">
        <v>225</v>
      </c>
      <c r="C41" s="45" t="s">
        <v>259</v>
      </c>
      <c r="D41" s="45" t="s">
        <v>252</v>
      </c>
      <c r="E41" s="45" t="s">
        <v>260</v>
      </c>
      <c r="F41" s="44" t="s">
        <v>14</v>
      </c>
      <c r="G41" s="44" t="s">
        <v>14</v>
      </c>
      <c r="H41" s="46" t="s">
        <v>177</v>
      </c>
      <c r="I41" s="44">
        <v>3</v>
      </c>
      <c r="J41" s="44">
        <v>4</v>
      </c>
      <c r="K41" s="44">
        <v>4</v>
      </c>
      <c r="L41" s="46">
        <v>11</v>
      </c>
    </row>
    <row r="42" spans="1:12" ht="15.75">
      <c r="A42" s="44" t="s">
        <v>224</v>
      </c>
      <c r="B42" s="45" t="s">
        <v>225</v>
      </c>
      <c r="C42" s="45" t="s">
        <v>261</v>
      </c>
      <c r="D42" s="45" t="s">
        <v>255</v>
      </c>
      <c r="E42" s="45" t="s">
        <v>262</v>
      </c>
      <c r="F42" s="44" t="s">
        <v>14</v>
      </c>
      <c r="G42" s="44" t="s">
        <v>14</v>
      </c>
      <c r="H42" s="46" t="s">
        <v>177</v>
      </c>
      <c r="I42" s="44">
        <v>4</v>
      </c>
      <c r="J42" s="44">
        <v>4</v>
      </c>
      <c r="K42" s="44">
        <v>4</v>
      </c>
      <c r="L42" s="46">
        <v>12</v>
      </c>
    </row>
    <row r="43" spans="1:12" ht="15.75">
      <c r="A43" s="44" t="s">
        <v>224</v>
      </c>
      <c r="B43" s="45" t="s">
        <v>225</v>
      </c>
      <c r="C43" s="45" t="s">
        <v>263</v>
      </c>
      <c r="D43" s="45" t="s">
        <v>258</v>
      </c>
      <c r="E43" s="45" t="s">
        <v>262</v>
      </c>
      <c r="F43" s="44" t="s">
        <v>14</v>
      </c>
      <c r="G43" s="44" t="s">
        <v>14</v>
      </c>
      <c r="H43" s="44" t="s">
        <v>51</v>
      </c>
      <c r="I43" s="44">
        <v>4</v>
      </c>
      <c r="J43" s="44">
        <v>4</v>
      </c>
      <c r="K43" s="44">
        <v>4</v>
      </c>
      <c r="L43" s="46">
        <v>12</v>
      </c>
    </row>
    <row r="44" spans="1:12" ht="15.75">
      <c r="A44" s="44" t="s">
        <v>224</v>
      </c>
      <c r="B44" s="45" t="s">
        <v>225</v>
      </c>
      <c r="C44" s="45" t="s">
        <v>264</v>
      </c>
      <c r="D44" s="45" t="s">
        <v>265</v>
      </c>
      <c r="E44" s="45" t="s">
        <v>266</v>
      </c>
      <c r="F44" s="44" t="s">
        <v>14</v>
      </c>
      <c r="G44" s="44" t="s">
        <v>14</v>
      </c>
      <c r="H44" s="44" t="s">
        <v>51</v>
      </c>
      <c r="I44" s="44">
        <v>3</v>
      </c>
      <c r="J44" s="44">
        <v>4</v>
      </c>
      <c r="K44" s="44">
        <v>4</v>
      </c>
      <c r="L44" s="46">
        <v>11</v>
      </c>
    </row>
    <row r="45" spans="1:12" ht="15.75">
      <c r="A45" s="44" t="s">
        <v>224</v>
      </c>
      <c r="B45" s="45" t="s">
        <v>225</v>
      </c>
      <c r="C45" s="45" t="s">
        <v>267</v>
      </c>
      <c r="D45" s="45" t="s">
        <v>265</v>
      </c>
      <c r="E45" s="45" t="s">
        <v>253</v>
      </c>
      <c r="F45" s="44" t="s">
        <v>14</v>
      </c>
      <c r="G45" s="44" t="s">
        <v>14</v>
      </c>
      <c r="H45" s="44" t="s">
        <v>51</v>
      </c>
      <c r="I45" s="44">
        <v>4</v>
      </c>
      <c r="J45" s="44">
        <v>4</v>
      </c>
      <c r="K45" s="44">
        <v>4</v>
      </c>
      <c r="L45" s="46">
        <v>12</v>
      </c>
    </row>
    <row r="46" spans="1:12" ht="15.75">
      <c r="A46" s="44" t="s">
        <v>224</v>
      </c>
      <c r="B46" s="45" t="s">
        <v>225</v>
      </c>
      <c r="C46" s="45" t="s">
        <v>274</v>
      </c>
      <c r="D46" s="45" t="s">
        <v>275</v>
      </c>
      <c r="E46" s="45" t="s">
        <v>276</v>
      </c>
      <c r="F46" s="44" t="s">
        <v>14</v>
      </c>
      <c r="G46" s="44" t="s">
        <v>14</v>
      </c>
      <c r="H46" s="44" t="s">
        <v>51</v>
      </c>
      <c r="I46" s="44">
        <v>4</v>
      </c>
      <c r="J46" s="44">
        <v>4</v>
      </c>
      <c r="K46" s="44">
        <v>4</v>
      </c>
      <c r="L46" s="46">
        <v>12</v>
      </c>
    </row>
    <row r="47" spans="1:12" ht="31.5">
      <c r="A47" s="44" t="s">
        <v>224</v>
      </c>
      <c r="B47" s="45" t="s">
        <v>225</v>
      </c>
      <c r="C47" s="45" t="s">
        <v>277</v>
      </c>
      <c r="D47" s="45" t="s">
        <v>278</v>
      </c>
      <c r="E47" s="45" t="s">
        <v>279</v>
      </c>
      <c r="F47" s="44" t="s">
        <v>14</v>
      </c>
      <c r="G47" s="44" t="s">
        <v>14</v>
      </c>
      <c r="H47" s="44" t="s">
        <v>51</v>
      </c>
      <c r="I47" s="44">
        <v>4</v>
      </c>
      <c r="J47" s="44">
        <v>4</v>
      </c>
      <c r="K47" s="44">
        <v>4</v>
      </c>
      <c r="L47" s="46">
        <v>12</v>
      </c>
    </row>
    <row r="48" spans="1:12" ht="31.5">
      <c r="A48" s="44" t="s">
        <v>224</v>
      </c>
      <c r="B48" s="45" t="s">
        <v>225</v>
      </c>
      <c r="C48" s="45" t="s">
        <v>280</v>
      </c>
      <c r="D48" s="45" t="s">
        <v>281</v>
      </c>
      <c r="E48" s="45" t="s">
        <v>282</v>
      </c>
      <c r="F48" s="44" t="s">
        <v>14</v>
      </c>
      <c r="G48" s="44" t="s">
        <v>14</v>
      </c>
      <c r="H48" s="44" t="s">
        <v>51</v>
      </c>
      <c r="I48" s="44">
        <v>4</v>
      </c>
      <c r="J48" s="44">
        <v>4</v>
      </c>
      <c r="K48" s="44">
        <v>4</v>
      </c>
      <c r="L48" s="46">
        <v>12</v>
      </c>
    </row>
    <row r="49" spans="1:12" ht="15.75">
      <c r="A49" s="44" t="s">
        <v>224</v>
      </c>
      <c r="B49" s="45" t="s">
        <v>225</v>
      </c>
      <c r="C49" s="45" t="s">
        <v>283</v>
      </c>
      <c r="D49" s="45" t="s">
        <v>284</v>
      </c>
      <c r="E49" s="45" t="s">
        <v>285</v>
      </c>
      <c r="F49" s="44" t="s">
        <v>14</v>
      </c>
      <c r="G49" s="44" t="s">
        <v>14</v>
      </c>
      <c r="H49" s="44" t="s">
        <v>51</v>
      </c>
      <c r="I49" s="44">
        <v>4</v>
      </c>
      <c r="J49" s="44">
        <v>4</v>
      </c>
      <c r="K49" s="44">
        <v>4</v>
      </c>
      <c r="L49" s="46">
        <v>12</v>
      </c>
    </row>
    <row r="50" spans="1:12" ht="15.75">
      <c r="A50" s="44" t="s">
        <v>224</v>
      </c>
      <c r="B50" s="45" t="s">
        <v>225</v>
      </c>
      <c r="C50" s="45" t="s">
        <v>286</v>
      </c>
      <c r="D50" s="45" t="s">
        <v>287</v>
      </c>
      <c r="E50" s="45" t="s">
        <v>288</v>
      </c>
      <c r="F50" s="44" t="s">
        <v>14</v>
      </c>
      <c r="G50" s="44" t="s">
        <v>14</v>
      </c>
      <c r="H50" s="44" t="s">
        <v>51</v>
      </c>
      <c r="I50" s="44">
        <v>4</v>
      </c>
      <c r="J50" s="44">
        <v>4</v>
      </c>
      <c r="K50" s="44">
        <v>4</v>
      </c>
      <c r="L50" s="46">
        <v>12</v>
      </c>
    </row>
    <row r="51" spans="1:12" ht="15.75">
      <c r="A51" s="44" t="s">
        <v>224</v>
      </c>
      <c r="B51" s="45" t="s">
        <v>225</v>
      </c>
      <c r="C51" s="45" t="s">
        <v>289</v>
      </c>
      <c r="D51" s="45" t="s">
        <v>227</v>
      </c>
      <c r="E51" s="45" t="s">
        <v>290</v>
      </c>
      <c r="F51" s="44" t="s">
        <v>14</v>
      </c>
      <c r="G51" s="44" t="s">
        <v>14</v>
      </c>
      <c r="H51" s="44" t="s">
        <v>51</v>
      </c>
      <c r="I51" s="44">
        <v>3</v>
      </c>
      <c r="J51" s="44">
        <v>3</v>
      </c>
      <c r="K51" s="44">
        <v>4</v>
      </c>
      <c r="L51" s="46">
        <v>10</v>
      </c>
    </row>
    <row r="52" spans="1:12" ht="15.75">
      <c r="A52" s="44" t="s">
        <v>224</v>
      </c>
      <c r="B52" s="45" t="s">
        <v>225</v>
      </c>
      <c r="C52" s="45" t="s">
        <v>291</v>
      </c>
      <c r="D52" s="45" t="s">
        <v>292</v>
      </c>
      <c r="E52" s="45" t="s">
        <v>293</v>
      </c>
      <c r="F52" s="44" t="s">
        <v>14</v>
      </c>
      <c r="G52" s="44" t="s">
        <v>38</v>
      </c>
      <c r="H52" s="44" t="s">
        <v>51</v>
      </c>
      <c r="I52" s="44">
        <v>3</v>
      </c>
      <c r="J52" s="44">
        <v>4</v>
      </c>
      <c r="K52" s="44">
        <v>3</v>
      </c>
      <c r="L52" s="46">
        <v>10</v>
      </c>
    </row>
    <row r="53" spans="1:12" ht="31.5">
      <c r="A53" s="44" t="s">
        <v>224</v>
      </c>
      <c r="B53" s="45" t="s">
        <v>225</v>
      </c>
      <c r="C53" s="45" t="s">
        <v>294</v>
      </c>
      <c r="D53" s="45" t="s">
        <v>295</v>
      </c>
      <c r="E53" s="45" t="s">
        <v>282</v>
      </c>
      <c r="F53" s="44" t="s">
        <v>14</v>
      </c>
      <c r="G53" s="44" t="s">
        <v>14</v>
      </c>
      <c r="H53" s="44" t="s">
        <v>296</v>
      </c>
      <c r="I53" s="44">
        <v>4</v>
      </c>
      <c r="J53" s="44">
        <v>4</v>
      </c>
      <c r="K53" s="44">
        <v>4</v>
      </c>
      <c r="L53" s="46">
        <v>12</v>
      </c>
    </row>
    <row r="54" spans="1:12" ht="15.75">
      <c r="A54" s="44" t="s">
        <v>297</v>
      </c>
      <c r="B54" s="45" t="s">
        <v>225</v>
      </c>
      <c r="C54" s="45" t="s">
        <v>298</v>
      </c>
      <c r="D54" s="45" t="s">
        <v>227</v>
      </c>
      <c r="E54" s="45" t="s">
        <v>290</v>
      </c>
      <c r="F54" s="44" t="s">
        <v>14</v>
      </c>
      <c r="G54" s="44" t="s">
        <v>14</v>
      </c>
      <c r="H54" s="44" t="s">
        <v>51</v>
      </c>
      <c r="I54" s="44">
        <v>3</v>
      </c>
      <c r="J54" s="44">
        <v>3</v>
      </c>
      <c r="K54" s="44">
        <v>4</v>
      </c>
      <c r="L54" s="46">
        <v>10</v>
      </c>
    </row>
    <row r="55" spans="1:12" ht="15.75">
      <c r="A55" s="44" t="s">
        <v>297</v>
      </c>
      <c r="B55" s="45" t="s">
        <v>225</v>
      </c>
      <c r="C55" s="45" t="s">
        <v>299</v>
      </c>
      <c r="D55" s="45" t="s">
        <v>300</v>
      </c>
      <c r="E55" s="45" t="s">
        <v>301</v>
      </c>
      <c r="F55" s="44" t="s">
        <v>14</v>
      </c>
      <c r="G55" s="44" t="s">
        <v>14</v>
      </c>
      <c r="H55" s="44" t="s">
        <v>51</v>
      </c>
      <c r="I55" s="44">
        <v>3</v>
      </c>
      <c r="J55" s="44">
        <v>3</v>
      </c>
      <c r="K55" s="44">
        <v>4</v>
      </c>
      <c r="L55" s="46">
        <v>10</v>
      </c>
    </row>
    <row r="56" spans="1:12" ht="31.5">
      <c r="A56" s="44" t="s">
        <v>297</v>
      </c>
      <c r="B56" s="45" t="s">
        <v>225</v>
      </c>
      <c r="C56" s="45" t="s">
        <v>302</v>
      </c>
      <c r="D56" s="49" t="s">
        <v>303</v>
      </c>
      <c r="E56" s="49" t="s">
        <v>304</v>
      </c>
      <c r="F56" s="46" t="s">
        <v>38</v>
      </c>
      <c r="G56" s="46" t="s">
        <v>152</v>
      </c>
      <c r="H56" s="46" t="s">
        <v>15</v>
      </c>
      <c r="I56" s="46">
        <v>4</v>
      </c>
      <c r="J56" s="46">
        <v>3</v>
      </c>
      <c r="K56" s="46">
        <v>3</v>
      </c>
      <c r="L56" s="46">
        <v>10</v>
      </c>
    </row>
    <row r="57" spans="1:12" ht="15.75">
      <c r="A57" s="44" t="s">
        <v>305</v>
      </c>
      <c r="B57" s="45" t="s">
        <v>306</v>
      </c>
      <c r="C57" s="45" t="s">
        <v>313</v>
      </c>
      <c r="D57" s="45" t="s">
        <v>314</v>
      </c>
      <c r="E57" s="45" t="s">
        <v>315</v>
      </c>
      <c r="F57" s="44" t="s">
        <v>14</v>
      </c>
      <c r="G57" s="44" t="s">
        <v>14</v>
      </c>
      <c r="H57" s="44" t="s">
        <v>51</v>
      </c>
      <c r="I57" s="44">
        <v>1</v>
      </c>
      <c r="J57" s="44">
        <v>4</v>
      </c>
      <c r="K57" s="44">
        <v>4</v>
      </c>
      <c r="L57" s="46">
        <v>9</v>
      </c>
    </row>
    <row r="58" spans="1:12" ht="31.5">
      <c r="A58" s="44" t="s">
        <v>305</v>
      </c>
      <c r="B58" s="45" t="s">
        <v>306</v>
      </c>
      <c r="C58" s="45" t="s">
        <v>316</v>
      </c>
      <c r="D58" s="45" t="s">
        <v>317</v>
      </c>
      <c r="E58" s="45" t="s">
        <v>318</v>
      </c>
      <c r="F58" s="44" t="s">
        <v>319</v>
      </c>
      <c r="G58" s="44" t="s">
        <v>319</v>
      </c>
      <c r="H58" s="46" t="s">
        <v>320</v>
      </c>
      <c r="I58" s="44">
        <v>1</v>
      </c>
      <c r="J58" s="44">
        <v>4</v>
      </c>
      <c r="K58" s="44">
        <v>4</v>
      </c>
      <c r="L58" s="46">
        <v>9</v>
      </c>
    </row>
    <row r="59" spans="1:12" ht="31.5">
      <c r="A59" s="44" t="s">
        <v>305</v>
      </c>
      <c r="B59" s="45" t="s">
        <v>306</v>
      </c>
      <c r="C59" s="45" t="s">
        <v>321</v>
      </c>
      <c r="D59" s="45" t="s">
        <v>322</v>
      </c>
      <c r="E59" s="45" t="s">
        <v>323</v>
      </c>
      <c r="F59" s="44" t="s">
        <v>14</v>
      </c>
      <c r="G59" s="44" t="s">
        <v>14</v>
      </c>
      <c r="H59" s="44" t="s">
        <v>51</v>
      </c>
      <c r="I59" s="44">
        <v>1</v>
      </c>
      <c r="J59" s="44">
        <v>4</v>
      </c>
      <c r="K59" s="44">
        <v>4</v>
      </c>
      <c r="L59" s="46">
        <v>9</v>
      </c>
    </row>
    <row r="60" spans="1:12" ht="15.75">
      <c r="A60" s="44" t="s">
        <v>305</v>
      </c>
      <c r="B60" s="45" t="s">
        <v>306</v>
      </c>
      <c r="C60" s="45" t="s">
        <v>332</v>
      </c>
      <c r="D60" s="45" t="s">
        <v>333</v>
      </c>
      <c r="E60" s="45" t="s">
        <v>334</v>
      </c>
      <c r="F60" s="44" t="s">
        <v>14</v>
      </c>
      <c r="G60" s="44" t="s">
        <v>14</v>
      </c>
      <c r="H60" s="44" t="s">
        <v>51</v>
      </c>
      <c r="I60" s="44">
        <v>3</v>
      </c>
      <c r="J60" s="44">
        <v>4</v>
      </c>
      <c r="K60" s="44">
        <v>4</v>
      </c>
      <c r="L60" s="46">
        <v>11</v>
      </c>
    </row>
    <row r="61" spans="1:12" ht="15.75">
      <c r="A61" s="44" t="s">
        <v>335</v>
      </c>
      <c r="B61" s="45" t="s">
        <v>336</v>
      </c>
      <c r="C61" s="45" t="s">
        <v>337</v>
      </c>
      <c r="D61" s="51" t="s">
        <v>338</v>
      </c>
      <c r="E61" s="45" t="s">
        <v>339</v>
      </c>
      <c r="F61" s="44" t="s">
        <v>14</v>
      </c>
      <c r="G61" s="44" t="s">
        <v>14</v>
      </c>
      <c r="H61" s="44" t="s">
        <v>51</v>
      </c>
      <c r="I61" s="44">
        <v>4</v>
      </c>
      <c r="J61" s="44">
        <v>2</v>
      </c>
      <c r="K61" s="44">
        <v>2</v>
      </c>
      <c r="L61" s="46">
        <v>8</v>
      </c>
    </row>
    <row r="62" spans="1:12" ht="15.75">
      <c r="A62" s="44" t="s">
        <v>335</v>
      </c>
      <c r="B62" s="45" t="s">
        <v>336</v>
      </c>
      <c r="C62" s="45" t="s">
        <v>340</v>
      </c>
      <c r="D62" s="51" t="s">
        <v>341</v>
      </c>
      <c r="E62" s="45" t="s">
        <v>151</v>
      </c>
      <c r="F62" s="44" t="s">
        <v>38</v>
      </c>
      <c r="G62" s="44" t="s">
        <v>38</v>
      </c>
      <c r="H62" s="44" t="s">
        <v>51</v>
      </c>
      <c r="I62" s="44">
        <v>4</v>
      </c>
      <c r="J62" s="44">
        <v>2</v>
      </c>
      <c r="K62" s="44">
        <v>2</v>
      </c>
      <c r="L62" s="46">
        <v>8</v>
      </c>
    </row>
    <row r="63" spans="1:12" ht="18.75">
      <c r="A63" s="16" t="s">
        <v>335</v>
      </c>
      <c r="B63" s="17" t="s">
        <v>336</v>
      </c>
      <c r="C63" s="17" t="s">
        <v>337</v>
      </c>
      <c r="D63" s="16" t="s">
        <v>338</v>
      </c>
      <c r="E63" s="17" t="s">
        <v>339</v>
      </c>
      <c r="F63" s="16" t="s">
        <v>14</v>
      </c>
      <c r="G63" s="16" t="s">
        <v>14</v>
      </c>
      <c r="H63" s="16" t="s">
        <v>51</v>
      </c>
      <c r="I63" s="16">
        <v>4</v>
      </c>
      <c r="J63" s="16">
        <v>2</v>
      </c>
      <c r="K63" s="16">
        <v>2</v>
      </c>
      <c r="L63" s="15">
        <v>8</v>
      </c>
    </row>
    <row r="64" spans="1:12" ht="18.75">
      <c r="A64" s="16" t="s">
        <v>335</v>
      </c>
      <c r="B64" s="17" t="s">
        <v>336</v>
      </c>
      <c r="C64" s="17" t="s">
        <v>340</v>
      </c>
      <c r="D64" s="16" t="s">
        <v>341</v>
      </c>
      <c r="E64" s="17" t="s">
        <v>151</v>
      </c>
      <c r="F64" s="16" t="s">
        <v>38</v>
      </c>
      <c r="G64" s="16" t="s">
        <v>38</v>
      </c>
      <c r="H64" s="16" t="s">
        <v>51</v>
      </c>
      <c r="I64" s="16">
        <v>4</v>
      </c>
      <c r="J64" s="16">
        <v>2</v>
      </c>
      <c r="K64" s="16">
        <v>2</v>
      </c>
      <c r="L64" s="15">
        <v>8</v>
      </c>
    </row>
  </sheetData>
  <mergeCells count="1">
    <mergeCell ref="I1:K1"/>
  </mergeCells>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2"/>
  <sheetViews>
    <sheetView workbookViewId="0">
      <selection activeCell="D4" sqref="D4"/>
    </sheetView>
  </sheetViews>
  <sheetFormatPr defaultColWidth="9" defaultRowHeight="15"/>
  <cols>
    <col min="1" max="1" width="5.75" style="18" bestFit="1" customWidth="1"/>
    <col min="2" max="4" width="15.625" style="18" customWidth="1"/>
    <col min="5" max="5" width="2.125" style="18" customWidth="1"/>
    <col min="6" max="6" width="5.125" style="18" customWidth="1"/>
    <col min="7" max="9" width="15.625" style="18" customWidth="1"/>
    <col min="10" max="10" width="2.25" style="18" customWidth="1"/>
    <col min="11" max="11" width="5.75" style="18" bestFit="1" customWidth="1"/>
    <col min="12" max="14" width="15.625" style="18" customWidth="1"/>
    <col min="15" max="16384" width="9" style="18"/>
  </cols>
  <sheetData>
    <row r="1" spans="1:14">
      <c r="A1" s="76" t="s">
        <v>348</v>
      </c>
      <c r="B1" s="77"/>
      <c r="C1" s="77"/>
      <c r="D1" s="77"/>
      <c r="F1" s="78" t="s">
        <v>349</v>
      </c>
      <c r="G1" s="79"/>
      <c r="H1" s="79"/>
      <c r="I1" s="79"/>
      <c r="K1" s="80" t="s">
        <v>350</v>
      </c>
      <c r="L1" s="81"/>
      <c r="M1" s="81"/>
      <c r="N1" s="81"/>
    </row>
    <row r="2" spans="1:14" ht="16.5">
      <c r="A2" s="19" t="s">
        <v>351</v>
      </c>
      <c r="B2" s="19" t="s">
        <v>352</v>
      </c>
      <c r="C2" s="19" t="s">
        <v>353</v>
      </c>
      <c r="D2" s="19" t="s">
        <v>354</v>
      </c>
      <c r="F2" s="20" t="s">
        <v>351</v>
      </c>
      <c r="G2" s="20" t="s">
        <v>352</v>
      </c>
      <c r="H2" s="20" t="s">
        <v>353</v>
      </c>
      <c r="I2" s="20" t="s">
        <v>354</v>
      </c>
      <c r="K2" s="21" t="s">
        <v>351</v>
      </c>
      <c r="L2" s="21" t="s">
        <v>352</v>
      </c>
      <c r="M2" s="21" t="s">
        <v>353</v>
      </c>
      <c r="N2" s="21" t="s">
        <v>354</v>
      </c>
    </row>
    <row r="3" spans="1:14" ht="118.5" customHeight="1">
      <c r="A3" s="19">
        <v>1</v>
      </c>
      <c r="B3" s="19" t="s">
        <v>355</v>
      </c>
      <c r="C3" s="19" t="s">
        <v>356</v>
      </c>
      <c r="D3" s="19" t="s">
        <v>357</v>
      </c>
      <c r="F3" s="20">
        <v>1</v>
      </c>
      <c r="G3" s="20" t="s">
        <v>358</v>
      </c>
      <c r="H3" s="20" t="s">
        <v>359</v>
      </c>
      <c r="I3" s="20" t="s">
        <v>360</v>
      </c>
      <c r="K3" s="21">
        <v>1</v>
      </c>
      <c r="L3" s="21" t="s">
        <v>361</v>
      </c>
      <c r="M3" s="21" t="s">
        <v>362</v>
      </c>
      <c r="N3" s="21" t="s">
        <v>363</v>
      </c>
    </row>
    <row r="4" spans="1:14" ht="118.5" customHeight="1">
      <c r="A4" s="19">
        <v>2</v>
      </c>
      <c r="B4" s="22" t="s">
        <v>364</v>
      </c>
      <c r="C4" s="19" t="s">
        <v>365</v>
      </c>
      <c r="D4" s="19" t="s">
        <v>366</v>
      </c>
      <c r="F4" s="20">
        <v>2</v>
      </c>
      <c r="G4" s="23" t="s">
        <v>367</v>
      </c>
      <c r="H4" s="20" t="s">
        <v>368</v>
      </c>
      <c r="I4" s="20" t="s">
        <v>369</v>
      </c>
      <c r="K4" s="21">
        <v>2</v>
      </c>
      <c r="L4" s="24" t="s">
        <v>370</v>
      </c>
      <c r="M4" s="21" t="s">
        <v>371</v>
      </c>
      <c r="N4" s="21" t="s">
        <v>372</v>
      </c>
    </row>
    <row r="5" spans="1:14" ht="118.5" customHeight="1">
      <c r="A5" s="19">
        <v>3</v>
      </c>
      <c r="B5" s="22" t="s">
        <v>373</v>
      </c>
      <c r="C5" s="19" t="s">
        <v>374</v>
      </c>
      <c r="D5" s="19" t="s">
        <v>375</v>
      </c>
      <c r="F5" s="20">
        <v>3</v>
      </c>
      <c r="G5" s="23" t="s">
        <v>376</v>
      </c>
      <c r="H5" s="20" t="s">
        <v>377</v>
      </c>
      <c r="I5" s="20" t="s">
        <v>378</v>
      </c>
      <c r="K5" s="21">
        <v>3</v>
      </c>
      <c r="L5" s="24" t="s">
        <v>379</v>
      </c>
      <c r="M5" s="21" t="s">
        <v>380</v>
      </c>
      <c r="N5" s="21" t="s">
        <v>381</v>
      </c>
    </row>
    <row r="6" spans="1:14" ht="118.5" customHeight="1">
      <c r="A6" s="19">
        <v>4</v>
      </c>
      <c r="B6" s="22" t="s">
        <v>382</v>
      </c>
      <c r="C6" s="19" t="s">
        <v>383</v>
      </c>
      <c r="D6" s="19" t="s">
        <v>384</v>
      </c>
      <c r="F6" s="20">
        <v>4</v>
      </c>
      <c r="G6" s="23" t="s">
        <v>385</v>
      </c>
      <c r="H6" s="20" t="s">
        <v>386</v>
      </c>
      <c r="I6" s="20" t="s">
        <v>387</v>
      </c>
      <c r="K6" s="21">
        <v>4</v>
      </c>
      <c r="L6" s="24" t="s">
        <v>388</v>
      </c>
      <c r="M6" s="21" t="s">
        <v>389</v>
      </c>
      <c r="N6" s="21" t="s">
        <v>390</v>
      </c>
    </row>
    <row r="7" spans="1:14" ht="118.5" customHeight="1">
      <c r="A7" s="19">
        <v>5</v>
      </c>
      <c r="B7" s="22" t="s">
        <v>391</v>
      </c>
      <c r="C7" s="19" t="s">
        <v>392</v>
      </c>
      <c r="D7" s="19" t="s">
        <v>393</v>
      </c>
      <c r="F7" s="20">
        <v>5</v>
      </c>
      <c r="G7" s="23" t="s">
        <v>394</v>
      </c>
      <c r="H7" s="20" t="s">
        <v>395</v>
      </c>
      <c r="I7" s="20" t="s">
        <v>396</v>
      </c>
      <c r="K7" s="21">
        <v>5</v>
      </c>
      <c r="L7" s="24" t="s">
        <v>397</v>
      </c>
      <c r="M7" s="21" t="s">
        <v>398</v>
      </c>
      <c r="N7" s="21" t="s">
        <v>399</v>
      </c>
    </row>
    <row r="9" spans="1:14">
      <c r="A9" s="82" t="s">
        <v>400</v>
      </c>
      <c r="B9" s="83"/>
      <c r="C9" s="83"/>
      <c r="D9" s="83"/>
      <c r="E9" s="25"/>
      <c r="F9" s="84" t="s">
        <v>401</v>
      </c>
      <c r="G9" s="85"/>
      <c r="H9" s="85"/>
      <c r="I9" s="85"/>
      <c r="J9" s="25"/>
      <c r="K9" s="86" t="s">
        <v>402</v>
      </c>
      <c r="L9" s="87"/>
      <c r="M9" s="87"/>
      <c r="N9" s="87"/>
    </row>
    <row r="10" spans="1:14" ht="16.5">
      <c r="A10" s="26" t="s">
        <v>351</v>
      </c>
      <c r="B10" s="26" t="s">
        <v>352</v>
      </c>
      <c r="C10" s="26" t="s">
        <v>353</v>
      </c>
      <c r="D10" s="26" t="s">
        <v>354</v>
      </c>
      <c r="F10" s="27" t="s">
        <v>351</v>
      </c>
      <c r="G10" s="27" t="s">
        <v>352</v>
      </c>
      <c r="H10" s="27" t="s">
        <v>353</v>
      </c>
      <c r="I10" s="27" t="s">
        <v>354</v>
      </c>
      <c r="K10" s="28" t="s">
        <v>403</v>
      </c>
      <c r="L10" s="28" t="s">
        <v>404</v>
      </c>
      <c r="M10" s="28" t="s">
        <v>405</v>
      </c>
      <c r="N10" s="28" t="s">
        <v>406</v>
      </c>
    </row>
    <row r="11" spans="1:14" ht="125.25" customHeight="1">
      <c r="A11" s="26">
        <v>1</v>
      </c>
      <c r="B11" s="26" t="s">
        <v>361</v>
      </c>
      <c r="C11" s="26" t="s">
        <v>407</v>
      </c>
      <c r="D11" s="26" t="s">
        <v>408</v>
      </c>
      <c r="F11" s="27">
        <v>1</v>
      </c>
      <c r="G11" s="27" t="s">
        <v>409</v>
      </c>
      <c r="H11" s="27" t="s">
        <v>361</v>
      </c>
      <c r="I11" s="27" t="s">
        <v>410</v>
      </c>
      <c r="K11" s="29">
        <v>1</v>
      </c>
      <c r="L11" s="30" t="s">
        <v>411</v>
      </c>
      <c r="M11" s="30" t="s">
        <v>412</v>
      </c>
      <c r="N11" s="31" t="s">
        <v>413</v>
      </c>
    </row>
    <row r="12" spans="1:14" ht="125.25" customHeight="1">
      <c r="A12" s="26">
        <v>2</v>
      </c>
      <c r="B12" s="32" t="s">
        <v>414</v>
      </c>
      <c r="C12" s="26" t="s">
        <v>415</v>
      </c>
      <c r="D12" s="26" t="s">
        <v>416</v>
      </c>
      <c r="F12" s="27">
        <v>2</v>
      </c>
      <c r="G12" s="27" t="s">
        <v>417</v>
      </c>
      <c r="H12" s="27" t="s">
        <v>418</v>
      </c>
      <c r="I12" s="27" t="s">
        <v>419</v>
      </c>
      <c r="K12" s="29">
        <v>2</v>
      </c>
      <c r="L12" s="30" t="s">
        <v>420</v>
      </c>
      <c r="M12" s="30" t="s">
        <v>421</v>
      </c>
      <c r="N12" s="31" t="s">
        <v>422</v>
      </c>
    </row>
    <row r="13" spans="1:14" ht="125.25" customHeight="1">
      <c r="A13" s="26">
        <v>3</v>
      </c>
      <c r="B13" s="32" t="s">
        <v>423</v>
      </c>
      <c r="C13" s="26" t="s">
        <v>424</v>
      </c>
      <c r="D13" s="26" t="s">
        <v>425</v>
      </c>
      <c r="F13" s="27">
        <v>3</v>
      </c>
      <c r="G13" s="27" t="s">
        <v>426</v>
      </c>
      <c r="H13" s="27" t="s">
        <v>427</v>
      </c>
      <c r="I13" s="27" t="s">
        <v>428</v>
      </c>
      <c r="K13" s="29">
        <v>3</v>
      </c>
      <c r="L13" s="30" t="s">
        <v>429</v>
      </c>
      <c r="M13" s="30" t="s">
        <v>430</v>
      </c>
      <c r="N13" s="31" t="s">
        <v>431</v>
      </c>
    </row>
    <row r="14" spans="1:14" ht="125.25" customHeight="1">
      <c r="A14" s="26">
        <v>4</v>
      </c>
      <c r="B14" s="32" t="s">
        <v>432</v>
      </c>
      <c r="C14" s="26" t="s">
        <v>433</v>
      </c>
      <c r="D14" s="26" t="s">
        <v>434</v>
      </c>
      <c r="F14" s="27">
        <v>4</v>
      </c>
      <c r="G14" s="27" t="s">
        <v>435</v>
      </c>
      <c r="H14" s="27" t="s">
        <v>436</v>
      </c>
      <c r="I14" s="27" t="s">
        <v>437</v>
      </c>
      <c r="K14" s="29">
        <v>4</v>
      </c>
      <c r="L14" s="30" t="s">
        <v>438</v>
      </c>
      <c r="M14" s="30" t="s">
        <v>439</v>
      </c>
      <c r="N14" s="31" t="s">
        <v>440</v>
      </c>
    </row>
    <row r="15" spans="1:14" ht="125.25" customHeight="1">
      <c r="A15" s="26">
        <v>5</v>
      </c>
      <c r="B15" s="32" t="s">
        <v>441</v>
      </c>
      <c r="C15" s="26" t="s">
        <v>442</v>
      </c>
      <c r="D15" s="26" t="s">
        <v>443</v>
      </c>
      <c r="F15" s="27">
        <v>5</v>
      </c>
      <c r="G15" s="27" t="s">
        <v>444</v>
      </c>
      <c r="H15" s="27" t="s">
        <v>445</v>
      </c>
      <c r="I15" s="27" t="s">
        <v>446</v>
      </c>
      <c r="K15" s="29">
        <v>5</v>
      </c>
      <c r="L15" s="30" t="s">
        <v>447</v>
      </c>
      <c r="M15" s="30" t="s">
        <v>448</v>
      </c>
      <c r="N15" s="31" t="s">
        <v>449</v>
      </c>
    </row>
    <row r="17" spans="1:14" ht="98.25" customHeight="1">
      <c r="A17" s="33" t="s">
        <v>450</v>
      </c>
      <c r="B17" s="88" t="s">
        <v>451</v>
      </c>
      <c r="C17" s="88"/>
      <c r="D17" s="88"/>
      <c r="E17" s="88"/>
      <c r="F17" s="88"/>
      <c r="G17" s="88"/>
      <c r="I17" s="33" t="s">
        <v>450</v>
      </c>
      <c r="J17" s="88" t="s">
        <v>452</v>
      </c>
      <c r="K17" s="88"/>
      <c r="L17" s="88"/>
      <c r="M17" s="88"/>
      <c r="N17" s="88"/>
    </row>
    <row r="18" spans="1:14" ht="150.75" customHeight="1">
      <c r="A18" s="34">
        <v>1</v>
      </c>
      <c r="B18" s="89" t="s">
        <v>453</v>
      </c>
      <c r="C18" s="89"/>
      <c r="D18" s="89"/>
      <c r="E18" s="89"/>
      <c r="F18" s="89"/>
      <c r="G18" s="89"/>
      <c r="I18" s="35">
        <v>1</v>
      </c>
      <c r="J18" s="89" t="s">
        <v>454</v>
      </c>
      <c r="K18" s="89"/>
      <c r="L18" s="89"/>
      <c r="M18" s="89"/>
      <c r="N18" s="89"/>
    </row>
    <row r="19" spans="1:14" ht="142.5" customHeight="1">
      <c r="A19" s="34">
        <v>2</v>
      </c>
      <c r="B19" s="89" t="s">
        <v>455</v>
      </c>
      <c r="C19" s="89"/>
      <c r="D19" s="89"/>
      <c r="E19" s="89"/>
      <c r="F19" s="89"/>
      <c r="G19" s="89"/>
      <c r="I19" s="36">
        <v>2</v>
      </c>
      <c r="J19" s="90" t="s">
        <v>456</v>
      </c>
      <c r="K19" s="90"/>
      <c r="L19" s="90"/>
      <c r="M19" s="90"/>
      <c r="N19" s="90"/>
    </row>
    <row r="20" spans="1:14" ht="117.75" customHeight="1">
      <c r="A20" s="34">
        <v>3</v>
      </c>
      <c r="B20" s="89" t="s">
        <v>457</v>
      </c>
      <c r="C20" s="89"/>
      <c r="D20" s="89"/>
      <c r="E20" s="89"/>
      <c r="F20" s="89"/>
      <c r="G20" s="89"/>
      <c r="I20" s="37">
        <v>3</v>
      </c>
      <c r="J20" s="89" t="s">
        <v>458</v>
      </c>
      <c r="K20" s="89"/>
      <c r="L20" s="89"/>
      <c r="M20" s="89"/>
      <c r="N20" s="89"/>
    </row>
    <row r="21" spans="1:14" ht="133.5" customHeight="1">
      <c r="A21" s="34">
        <v>4</v>
      </c>
      <c r="B21" s="89" t="s">
        <v>459</v>
      </c>
      <c r="C21" s="89"/>
      <c r="D21" s="89"/>
      <c r="E21" s="89"/>
      <c r="F21" s="89"/>
      <c r="G21" s="89"/>
      <c r="I21" s="37">
        <v>4</v>
      </c>
      <c r="J21" s="90" t="s">
        <v>460</v>
      </c>
      <c r="K21" s="90"/>
      <c r="L21" s="90"/>
      <c r="M21" s="90"/>
      <c r="N21" s="90"/>
    </row>
    <row r="22" spans="1:14" ht="135" customHeight="1">
      <c r="A22" s="34">
        <v>5</v>
      </c>
      <c r="B22" s="89" t="s">
        <v>461</v>
      </c>
      <c r="C22" s="89"/>
      <c r="D22" s="89"/>
      <c r="E22" s="89"/>
      <c r="F22" s="89"/>
      <c r="G22" s="89"/>
      <c r="I22" s="37">
        <v>5</v>
      </c>
      <c r="J22" s="90" t="s">
        <v>462</v>
      </c>
      <c r="K22" s="90"/>
      <c r="L22" s="90"/>
      <c r="M22" s="90"/>
      <c r="N22" s="90"/>
    </row>
  </sheetData>
  <mergeCells count="18">
    <mergeCell ref="B20:G20"/>
    <mergeCell ref="J20:N20"/>
    <mergeCell ref="B21:G21"/>
    <mergeCell ref="J21:N21"/>
    <mergeCell ref="B22:G22"/>
    <mergeCell ref="J22:N22"/>
    <mergeCell ref="B17:G17"/>
    <mergeCell ref="J17:N17"/>
    <mergeCell ref="B18:G18"/>
    <mergeCell ref="J18:N18"/>
    <mergeCell ref="B19:G19"/>
    <mergeCell ref="J19:N19"/>
    <mergeCell ref="A1:D1"/>
    <mergeCell ref="F1:I1"/>
    <mergeCell ref="K1:N1"/>
    <mergeCell ref="A9:D9"/>
    <mergeCell ref="F9:I9"/>
    <mergeCell ref="K9:N9"/>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2B13E-955A-4CED-A2B9-432B2AF747DD}">
  <dimension ref="A1:L17"/>
  <sheetViews>
    <sheetView zoomScaleNormal="100" workbookViewId="0">
      <selection activeCell="K10" sqref="K10"/>
    </sheetView>
  </sheetViews>
  <sheetFormatPr defaultColWidth="8.75" defaultRowHeight="16.5"/>
  <cols>
    <col min="1" max="1" width="5.625" style="6" bestFit="1" customWidth="1"/>
    <col min="2" max="2" width="27.125" style="6" bestFit="1" customWidth="1"/>
    <col min="3" max="3" width="5.625" style="6" bestFit="1" customWidth="1"/>
    <col min="4" max="4" width="28.25" style="6" bestFit="1" customWidth="1"/>
    <col min="5" max="5" width="19.5" style="6" bestFit="1" customWidth="1"/>
    <col min="6" max="6" width="27.625" style="6" bestFit="1" customWidth="1"/>
    <col min="7" max="7" width="9.75" style="6" customWidth="1"/>
    <col min="8" max="9" width="15.875" style="6" bestFit="1" customWidth="1"/>
    <col min="10" max="10" width="10" style="6" bestFit="1" customWidth="1"/>
    <col min="11" max="11" width="17.125" style="6" bestFit="1" customWidth="1"/>
    <col min="12" max="12" width="11.375" style="6" bestFit="1" customWidth="1"/>
    <col min="13" max="16384" width="8.75" style="6"/>
  </cols>
  <sheetData>
    <row r="1" spans="1:12">
      <c r="A1" s="61" t="s">
        <v>2</v>
      </c>
      <c r="B1" s="61" t="s">
        <v>463</v>
      </c>
      <c r="C1" s="61" t="s">
        <v>464</v>
      </c>
      <c r="D1" s="61" t="s">
        <v>465</v>
      </c>
      <c r="E1" s="61" t="s">
        <v>466</v>
      </c>
      <c r="F1" s="61" t="s">
        <v>467</v>
      </c>
      <c r="G1" s="61" t="s">
        <v>468</v>
      </c>
      <c r="H1" s="61" t="s">
        <v>469</v>
      </c>
      <c r="I1" s="61" t="s">
        <v>470</v>
      </c>
      <c r="J1" s="61" t="s">
        <v>471</v>
      </c>
      <c r="K1" s="61" t="s">
        <v>472</v>
      </c>
      <c r="L1" s="61" t="s">
        <v>473</v>
      </c>
    </row>
    <row r="2" spans="1:12" ht="15">
      <c r="A2" s="61" t="s">
        <v>145</v>
      </c>
      <c r="B2" s="61" t="s">
        <v>474</v>
      </c>
      <c r="C2" s="61"/>
      <c r="D2" s="61" t="s">
        <v>475</v>
      </c>
      <c r="E2" s="61" t="s">
        <v>476</v>
      </c>
      <c r="F2" s="61" t="s">
        <v>477</v>
      </c>
      <c r="G2" s="73" t="s">
        <v>478</v>
      </c>
      <c r="H2" s="61" t="s">
        <v>479</v>
      </c>
      <c r="I2" s="61" t="s">
        <v>480</v>
      </c>
      <c r="J2" s="61" t="s">
        <v>481</v>
      </c>
      <c r="K2" s="61"/>
      <c r="L2" s="61"/>
    </row>
    <row r="3" spans="1:12" ht="15">
      <c r="A3" s="61" t="s">
        <v>148</v>
      </c>
      <c r="B3" s="61" t="s">
        <v>482</v>
      </c>
      <c r="C3" s="61"/>
      <c r="D3" s="61"/>
      <c r="E3" s="61"/>
      <c r="F3" s="61"/>
      <c r="G3" s="61"/>
      <c r="H3" s="61"/>
      <c r="I3" s="61"/>
      <c r="J3" s="61"/>
      <c r="K3" s="61"/>
      <c r="L3" s="61"/>
    </row>
    <row r="4" spans="1:12">
      <c r="A4" s="61" t="s">
        <v>483</v>
      </c>
      <c r="B4" s="61" t="s">
        <v>484</v>
      </c>
      <c r="C4" s="61"/>
      <c r="E4" s="61"/>
      <c r="F4" s="61"/>
      <c r="G4" s="61"/>
      <c r="H4" s="61"/>
      <c r="I4" s="61"/>
      <c r="J4" s="61" t="s">
        <v>485</v>
      </c>
      <c r="K4" s="61"/>
      <c r="L4" s="61" t="s">
        <v>486</v>
      </c>
    </row>
    <row r="5" spans="1:12">
      <c r="A5" s="61" t="s">
        <v>487</v>
      </c>
      <c r="B5" s="61" t="s">
        <v>488</v>
      </c>
      <c r="C5" s="61"/>
      <c r="D5" s="61"/>
      <c r="E5" s="61"/>
      <c r="F5" s="61" t="s">
        <v>489</v>
      </c>
      <c r="G5" s="61"/>
      <c r="H5" s="61"/>
      <c r="I5" s="61" t="s">
        <v>480</v>
      </c>
      <c r="J5" s="61" t="s">
        <v>481</v>
      </c>
      <c r="K5" s="61"/>
      <c r="L5" s="61"/>
    </row>
    <row r="6" spans="1:12">
      <c r="A6" s="61" t="s">
        <v>490</v>
      </c>
      <c r="B6" s="61" t="s">
        <v>491</v>
      </c>
      <c r="C6" s="61"/>
      <c r="D6" s="61"/>
      <c r="E6" s="61"/>
      <c r="F6" s="61"/>
      <c r="G6" s="61"/>
      <c r="H6" s="61"/>
      <c r="I6" s="61" t="s">
        <v>492</v>
      </c>
      <c r="J6" s="61" t="s">
        <v>485</v>
      </c>
      <c r="K6" s="61"/>
      <c r="L6" s="61" t="s">
        <v>486</v>
      </c>
    </row>
    <row r="7" spans="1:12">
      <c r="A7" s="61"/>
      <c r="B7" s="61"/>
      <c r="C7" s="61"/>
      <c r="D7" s="61"/>
      <c r="E7" s="61"/>
      <c r="F7" s="61"/>
      <c r="G7" s="61"/>
      <c r="H7" s="61"/>
      <c r="I7" s="61"/>
      <c r="J7" s="61"/>
      <c r="K7" s="61"/>
      <c r="L7" s="61"/>
    </row>
    <row r="8" spans="1:12">
      <c r="A8" s="61"/>
      <c r="B8" s="61"/>
      <c r="C8" s="61"/>
      <c r="D8" s="61"/>
      <c r="E8" s="61"/>
      <c r="F8" s="61"/>
      <c r="G8" s="61"/>
      <c r="H8" s="61"/>
      <c r="I8" s="61"/>
      <c r="J8" s="61"/>
      <c r="K8" s="61"/>
      <c r="L8" s="61"/>
    </row>
    <row r="9" spans="1:12">
      <c r="A9" s="61"/>
      <c r="B9" s="61"/>
      <c r="C9" s="61"/>
      <c r="D9" s="61"/>
      <c r="E9" s="61"/>
      <c r="F9" s="61"/>
      <c r="G9" s="61"/>
      <c r="H9" s="61"/>
      <c r="I9" s="61"/>
      <c r="J9" s="61"/>
      <c r="K9" s="61"/>
      <c r="L9" s="61"/>
    </row>
    <row r="10" spans="1:12">
      <c r="A10" s="61"/>
      <c r="B10" s="61"/>
      <c r="C10" s="61"/>
      <c r="D10" s="61"/>
      <c r="E10" s="61"/>
      <c r="F10" s="61"/>
      <c r="G10" s="61"/>
      <c r="H10" s="61"/>
      <c r="I10" s="61"/>
      <c r="J10" s="61"/>
      <c r="K10" s="61"/>
      <c r="L10" s="61"/>
    </row>
    <row r="11" spans="1:12">
      <c r="A11" s="61"/>
      <c r="B11" s="61"/>
      <c r="C11" s="61"/>
      <c r="D11" s="61"/>
      <c r="E11" s="61"/>
      <c r="F11" s="61"/>
      <c r="G11" s="61"/>
      <c r="H11" s="61"/>
      <c r="I11" s="61"/>
      <c r="J11" s="61"/>
      <c r="K11" s="61"/>
      <c r="L11" s="61"/>
    </row>
    <row r="12" spans="1:12">
      <c r="A12" s="61"/>
      <c r="B12" s="61"/>
      <c r="C12" s="61"/>
      <c r="D12" s="61"/>
      <c r="E12" s="61"/>
      <c r="F12" s="61"/>
      <c r="G12" s="61"/>
      <c r="H12" s="61"/>
      <c r="I12" s="61"/>
      <c r="J12" s="61"/>
      <c r="K12" s="61"/>
      <c r="L12" s="61"/>
    </row>
    <row r="13" spans="1:12">
      <c r="A13" s="61"/>
      <c r="B13" s="61"/>
      <c r="C13" s="61"/>
      <c r="D13" s="61"/>
      <c r="E13" s="61"/>
      <c r="F13" s="61"/>
      <c r="G13" s="61"/>
      <c r="H13" s="61"/>
      <c r="I13" s="61"/>
      <c r="J13" s="61"/>
      <c r="K13" s="61"/>
      <c r="L13" s="61"/>
    </row>
    <row r="14" spans="1:12">
      <c r="A14" s="61"/>
      <c r="B14" s="61"/>
      <c r="C14" s="61"/>
      <c r="D14" s="61"/>
      <c r="E14" s="61"/>
      <c r="F14" s="61"/>
      <c r="G14" s="61"/>
      <c r="H14" s="61"/>
      <c r="I14" s="61"/>
      <c r="J14" s="61"/>
      <c r="K14" s="61"/>
      <c r="L14" s="61"/>
    </row>
    <row r="15" spans="1:12">
      <c r="A15" s="61"/>
      <c r="B15" s="61"/>
      <c r="C15" s="61"/>
      <c r="D15" s="61"/>
      <c r="E15" s="61"/>
      <c r="F15" s="61"/>
      <c r="G15" s="61"/>
      <c r="H15" s="61"/>
      <c r="I15" s="61"/>
      <c r="J15" s="61"/>
      <c r="K15" s="61"/>
      <c r="L15" s="61"/>
    </row>
    <row r="16" spans="1:12">
      <c r="A16" s="61"/>
      <c r="B16" s="61"/>
      <c r="C16" s="61"/>
      <c r="D16" s="61"/>
      <c r="E16" s="61"/>
      <c r="F16" s="61"/>
      <c r="G16" s="61"/>
      <c r="H16" s="61"/>
      <c r="I16" s="61"/>
      <c r="J16" s="61"/>
      <c r="K16" s="61"/>
      <c r="L16" s="61"/>
    </row>
    <row r="17" spans="1:12">
      <c r="A17" s="61"/>
      <c r="B17" s="61"/>
      <c r="C17" s="61"/>
      <c r="D17" s="61"/>
      <c r="E17" s="61"/>
      <c r="F17" s="61"/>
      <c r="G17" s="61"/>
      <c r="H17" s="61"/>
      <c r="I17" s="61"/>
      <c r="J17" s="61"/>
      <c r="K17" s="61"/>
      <c r="L17" s="61"/>
    </row>
  </sheetData>
  <phoneticPr fontId="4" type="noConversion"/>
  <hyperlinks>
    <hyperlink ref="G2" r:id="rId1" xr:uid="{5D168CE4-EE38-4ECC-8ACF-55D17CF47BFF}"/>
  </hyperlinks>
  <pageMargins left="0.7" right="0.7" top="0.75" bottom="0.75" header="0.3" footer="0.3"/>
  <pageSetup paperSize="9" orientation="landscape" r:id="rId2"/>
  <headerFooter>
    <oddHeader>&amp;L&amp;"標楷體,標準"文件編號：ISMS-2-05-1
制訂單位：資訊部&amp;C&amp;"標楷體,標準"新光醫療財團法人新光吳火獅醫院
組態管理紀錄表&amp;R&amp;"標楷體,標準"機密等級：密             版本：3.0
更新日期：               頁數：&amp;P/&amp;N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2F2FE-BA54-4690-8917-862B27F3E87D}">
  <dimension ref="A1:G21"/>
  <sheetViews>
    <sheetView zoomScaleNormal="100" workbookViewId="0">
      <selection activeCell="D4" sqref="D4"/>
    </sheetView>
  </sheetViews>
  <sheetFormatPr defaultRowHeight="16.5"/>
  <cols>
    <col min="2" max="2" width="33.5" bestFit="1" customWidth="1"/>
    <col min="3" max="3" width="10.625" bestFit="1" customWidth="1"/>
    <col min="4" max="4" width="27.375" bestFit="1" customWidth="1"/>
    <col min="5" max="6" width="16.875" bestFit="1" customWidth="1"/>
  </cols>
  <sheetData>
    <row r="1" spans="1:7">
      <c r="A1" s="61" t="s">
        <v>2</v>
      </c>
      <c r="B1" s="61" t="s">
        <v>493</v>
      </c>
      <c r="C1" s="61" t="s">
        <v>464</v>
      </c>
      <c r="D1" s="61" t="s">
        <v>494</v>
      </c>
      <c r="E1" s="61" t="s">
        <v>495</v>
      </c>
      <c r="F1" s="61" t="s">
        <v>496</v>
      </c>
      <c r="G1" s="61" t="s">
        <v>473</v>
      </c>
    </row>
    <row r="2" spans="1:7">
      <c r="A2" s="61"/>
      <c r="B2" s="61"/>
      <c r="C2" s="61"/>
      <c r="D2" s="61"/>
      <c r="E2" s="61"/>
      <c r="F2" s="61"/>
      <c r="G2" s="61"/>
    </row>
    <row r="3" spans="1:7">
      <c r="A3" s="61"/>
      <c r="B3" s="61"/>
      <c r="C3" s="61"/>
      <c r="D3" s="61"/>
      <c r="E3" s="61"/>
      <c r="F3" s="61"/>
      <c r="G3" s="61"/>
    </row>
    <row r="4" spans="1:7">
      <c r="A4" s="61"/>
      <c r="B4" s="61"/>
      <c r="C4" s="61"/>
      <c r="D4" s="61"/>
      <c r="E4" s="61"/>
      <c r="F4" s="61"/>
      <c r="G4" s="61"/>
    </row>
    <row r="5" spans="1:7">
      <c r="A5" s="61"/>
      <c r="B5" s="61"/>
      <c r="C5" s="61"/>
      <c r="D5" s="61"/>
      <c r="E5" s="61"/>
      <c r="F5" s="61"/>
      <c r="G5" s="61"/>
    </row>
    <row r="6" spans="1:7">
      <c r="A6" s="61"/>
      <c r="B6" s="61"/>
      <c r="C6" s="61"/>
      <c r="D6" s="61"/>
      <c r="E6" s="61"/>
      <c r="F6" s="61"/>
      <c r="G6" s="61"/>
    </row>
    <row r="7" spans="1:7">
      <c r="A7" s="61"/>
      <c r="B7" s="61"/>
      <c r="C7" s="61"/>
      <c r="D7" s="61"/>
      <c r="E7" s="61"/>
      <c r="F7" s="61"/>
      <c r="G7" s="61"/>
    </row>
    <row r="8" spans="1:7">
      <c r="A8" s="61"/>
      <c r="B8" s="61"/>
      <c r="C8" s="61"/>
      <c r="D8" s="61"/>
      <c r="E8" s="61"/>
      <c r="F8" s="61"/>
      <c r="G8" s="61"/>
    </row>
    <row r="9" spans="1:7">
      <c r="A9" s="61"/>
      <c r="B9" s="61"/>
      <c r="C9" s="61"/>
      <c r="D9" s="61"/>
      <c r="E9" s="61"/>
      <c r="F9" s="61"/>
      <c r="G9" s="61"/>
    </row>
    <row r="10" spans="1:7">
      <c r="A10" s="61"/>
      <c r="B10" s="61"/>
      <c r="C10" s="61"/>
      <c r="D10" s="61"/>
      <c r="E10" s="61"/>
      <c r="F10" s="61"/>
      <c r="G10" s="61"/>
    </row>
    <row r="11" spans="1:7">
      <c r="A11" s="61"/>
      <c r="B11" s="61"/>
      <c r="C11" s="61"/>
      <c r="D11" s="61"/>
      <c r="E11" s="61"/>
      <c r="F11" s="61"/>
      <c r="G11" s="61"/>
    </row>
    <row r="12" spans="1:7">
      <c r="A12" s="61"/>
      <c r="B12" s="61"/>
      <c r="C12" s="61"/>
      <c r="D12" s="61"/>
      <c r="E12" s="61"/>
      <c r="F12" s="61"/>
      <c r="G12" s="61"/>
    </row>
    <row r="13" spans="1:7">
      <c r="A13" s="61"/>
      <c r="B13" s="61"/>
      <c r="C13" s="61"/>
      <c r="D13" s="61"/>
      <c r="E13" s="61"/>
      <c r="F13" s="61"/>
      <c r="G13" s="61"/>
    </row>
    <row r="14" spans="1:7">
      <c r="A14" s="61"/>
      <c r="B14" s="61"/>
      <c r="C14" s="61"/>
      <c r="D14" s="61"/>
      <c r="E14" s="61"/>
      <c r="F14" s="61"/>
      <c r="G14" s="61"/>
    </row>
    <row r="15" spans="1:7">
      <c r="A15" s="61"/>
      <c r="B15" s="61"/>
      <c r="C15" s="61"/>
      <c r="D15" s="61"/>
      <c r="E15" s="61"/>
      <c r="F15" s="61"/>
      <c r="G15" s="61"/>
    </row>
    <row r="16" spans="1:7">
      <c r="A16" s="61"/>
      <c r="B16" s="61"/>
      <c r="C16" s="61"/>
      <c r="D16" s="61"/>
      <c r="E16" s="61"/>
      <c r="F16" s="61"/>
      <c r="G16" s="61"/>
    </row>
    <row r="17" spans="1:7">
      <c r="A17" s="61"/>
      <c r="B17" s="61"/>
      <c r="C17" s="61"/>
      <c r="D17" s="61"/>
      <c r="E17" s="61"/>
      <c r="F17" s="61"/>
      <c r="G17" s="61"/>
    </row>
    <row r="18" spans="1:7">
      <c r="A18" s="61"/>
      <c r="B18" s="61"/>
      <c r="C18" s="62"/>
      <c r="D18" s="62"/>
      <c r="E18" s="62"/>
      <c r="F18" s="62"/>
      <c r="G18" s="62"/>
    </row>
    <row r="19" spans="1:7">
      <c r="A19" s="61"/>
      <c r="B19" s="61"/>
      <c r="C19" s="62"/>
      <c r="D19" s="62"/>
      <c r="E19" s="62"/>
      <c r="F19" s="62"/>
      <c r="G19" s="62"/>
    </row>
    <row r="20" spans="1:7">
      <c r="A20" s="61"/>
      <c r="B20" s="61"/>
      <c r="C20" s="62"/>
      <c r="D20" s="62"/>
      <c r="E20" s="62"/>
      <c r="F20" s="62"/>
      <c r="G20" s="62"/>
    </row>
    <row r="21" spans="1:7">
      <c r="A21" s="61"/>
      <c r="B21" s="61"/>
      <c r="C21" s="62"/>
      <c r="D21" s="62"/>
      <c r="E21" s="62"/>
      <c r="F21" s="62"/>
      <c r="G21" s="62"/>
    </row>
  </sheetData>
  <phoneticPr fontId="4" type="noConversion"/>
  <pageMargins left="0.7" right="0.7" top="0.75" bottom="0.75" header="0.3" footer="0.3"/>
  <pageSetup paperSize="9" orientation="landscape" r:id="rId1"/>
  <headerFooter>
    <oddHeader>&amp;L&amp;"標楷體,標準"文件編號：ISMS-2-05-1
制訂單位：資訊部&amp;C&amp;"標楷體,標準"新光醫療財團法人新光吳火獅醫院
組態管理紀錄表&amp;R&amp;"標楷體,標準"機密等級：密             版本：3.0
更新日期：               頁數：&amp;P/&amp;N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3224C-5702-4708-8A2C-01E31AC8D9D6}">
  <dimension ref="A1:O18"/>
  <sheetViews>
    <sheetView zoomScaleNormal="100" workbookViewId="0">
      <selection activeCell="B13" sqref="B13"/>
    </sheetView>
  </sheetViews>
  <sheetFormatPr defaultColWidth="8.75" defaultRowHeight="16.5"/>
  <cols>
    <col min="1" max="1" width="8.75" style="6"/>
    <col min="2" max="2" width="26.5" style="6" bestFit="1" customWidth="1"/>
    <col min="3" max="3" width="22.5" style="6" bestFit="1" customWidth="1"/>
    <col min="4" max="4" width="8.75" style="6"/>
    <col min="5" max="5" width="10" style="6" bestFit="1" customWidth="1"/>
    <col min="6" max="6" width="12.375" style="6" bestFit="1" customWidth="1"/>
    <col min="7" max="9" width="8.75" style="6"/>
    <col min="10" max="10" width="9.875" style="6" customWidth="1"/>
    <col min="11" max="11" width="18.375" style="6" bestFit="1" customWidth="1"/>
    <col min="12" max="12" width="10" style="6" bestFit="1" customWidth="1"/>
    <col min="13" max="13" width="8.75" style="6"/>
    <col min="14" max="14" width="17.125" style="6" bestFit="1" customWidth="1"/>
    <col min="15" max="16384" width="8.75" style="6"/>
  </cols>
  <sheetData>
    <row r="1" spans="1:15">
      <c r="A1" s="61" t="s">
        <v>2</v>
      </c>
      <c r="B1" s="61" t="s">
        <v>465</v>
      </c>
      <c r="C1" s="61" t="s">
        <v>497</v>
      </c>
      <c r="D1" s="63" t="s">
        <v>498</v>
      </c>
      <c r="E1" s="63" t="s">
        <v>499</v>
      </c>
      <c r="F1" s="63" t="s">
        <v>500</v>
      </c>
      <c r="G1" s="63" t="s">
        <v>501</v>
      </c>
      <c r="H1" s="64" t="s">
        <v>502</v>
      </c>
      <c r="I1" s="64" t="s">
        <v>503</v>
      </c>
      <c r="J1" s="64" t="s">
        <v>504</v>
      </c>
      <c r="K1" s="65" t="s">
        <v>505</v>
      </c>
      <c r="L1" s="65" t="s">
        <v>471</v>
      </c>
      <c r="M1" s="66" t="s">
        <v>506</v>
      </c>
      <c r="N1" s="61" t="s">
        <v>507</v>
      </c>
      <c r="O1" s="61" t="s">
        <v>473</v>
      </c>
    </row>
    <row r="2" spans="1:15">
      <c r="A2" s="61"/>
      <c r="B2" s="61"/>
      <c r="C2" s="61"/>
      <c r="D2" s="61"/>
      <c r="E2" s="61"/>
      <c r="F2" s="61"/>
      <c r="G2" s="61"/>
      <c r="H2" s="61"/>
      <c r="I2" s="61"/>
      <c r="J2" s="61"/>
      <c r="K2" s="61"/>
      <c r="L2" s="61"/>
      <c r="M2" s="61"/>
      <c r="N2" s="61"/>
      <c r="O2" s="61"/>
    </row>
    <row r="3" spans="1:15">
      <c r="A3" s="61"/>
      <c r="B3" s="61"/>
      <c r="C3" s="61"/>
      <c r="D3" s="61"/>
      <c r="E3" s="61"/>
      <c r="F3" s="61"/>
      <c r="G3" s="61"/>
      <c r="H3" s="61"/>
      <c r="I3" s="61"/>
      <c r="J3" s="61"/>
      <c r="K3" s="61"/>
      <c r="L3" s="61"/>
      <c r="M3" s="61"/>
      <c r="N3" s="61"/>
      <c r="O3" s="61"/>
    </row>
    <row r="4" spans="1:15">
      <c r="A4" s="61"/>
      <c r="B4" s="61"/>
      <c r="C4" s="61"/>
      <c r="D4" s="61"/>
      <c r="E4" s="61"/>
      <c r="F4" s="61"/>
      <c r="G4" s="61"/>
      <c r="H4" s="61"/>
      <c r="I4" s="61"/>
      <c r="J4" s="61"/>
      <c r="K4" s="61"/>
      <c r="L4" s="61"/>
      <c r="M4" s="61"/>
      <c r="N4" s="61"/>
      <c r="O4" s="61"/>
    </row>
    <row r="5" spans="1:15">
      <c r="A5" s="61"/>
      <c r="B5" s="61"/>
      <c r="C5" s="61"/>
      <c r="D5" s="61"/>
      <c r="E5" s="61"/>
      <c r="F5" s="61"/>
      <c r="G5" s="61"/>
      <c r="H5" s="61"/>
      <c r="I5" s="61"/>
      <c r="J5" s="61"/>
      <c r="K5" s="61"/>
      <c r="L5" s="61"/>
      <c r="M5" s="61"/>
      <c r="N5" s="61"/>
      <c r="O5" s="61"/>
    </row>
    <row r="6" spans="1:15">
      <c r="A6" s="61"/>
      <c r="B6" s="61"/>
      <c r="C6" s="61"/>
      <c r="D6" s="61"/>
      <c r="E6" s="61"/>
      <c r="F6" s="61"/>
      <c r="G6" s="61"/>
      <c r="H6" s="61"/>
      <c r="I6" s="61"/>
      <c r="J6" s="61"/>
      <c r="K6" s="61"/>
      <c r="L6" s="61"/>
      <c r="M6" s="61"/>
      <c r="N6" s="61"/>
      <c r="O6" s="61"/>
    </row>
    <row r="7" spans="1:15">
      <c r="A7" s="61"/>
      <c r="B7" s="61"/>
      <c r="C7" s="61"/>
      <c r="D7" s="61"/>
      <c r="E7" s="61"/>
      <c r="F7" s="61"/>
      <c r="G7" s="61"/>
      <c r="H7" s="61"/>
      <c r="I7" s="61"/>
      <c r="J7" s="61"/>
      <c r="K7" s="61"/>
      <c r="L7" s="61"/>
      <c r="M7" s="61"/>
      <c r="N7" s="61"/>
      <c r="O7" s="61"/>
    </row>
    <row r="8" spans="1:15">
      <c r="A8" s="61"/>
      <c r="B8" s="61"/>
      <c r="C8" s="61"/>
      <c r="D8" s="61"/>
      <c r="E8" s="61"/>
      <c r="F8" s="61"/>
      <c r="G8" s="61"/>
      <c r="H8" s="61"/>
      <c r="I8" s="61"/>
      <c r="J8" s="61"/>
      <c r="K8" s="61"/>
      <c r="L8" s="61"/>
      <c r="M8" s="61"/>
      <c r="N8" s="61"/>
      <c r="O8" s="61"/>
    </row>
    <row r="9" spans="1:15">
      <c r="A9" s="61"/>
      <c r="B9" s="61"/>
      <c r="C9" s="61"/>
      <c r="D9" s="61"/>
      <c r="E9" s="61"/>
      <c r="F9" s="61"/>
      <c r="G9" s="61"/>
      <c r="H9" s="61"/>
      <c r="I9" s="61"/>
      <c r="J9" s="61"/>
      <c r="K9" s="61"/>
      <c r="L9" s="61"/>
      <c r="M9" s="61"/>
      <c r="N9" s="61"/>
      <c r="O9" s="61"/>
    </row>
    <row r="10" spans="1:15">
      <c r="A10" s="61"/>
      <c r="B10" s="61"/>
      <c r="C10" s="61"/>
      <c r="D10" s="61"/>
      <c r="E10" s="61"/>
      <c r="F10" s="61"/>
      <c r="G10" s="61"/>
      <c r="H10" s="61"/>
      <c r="I10" s="61"/>
      <c r="J10" s="61"/>
      <c r="K10" s="61"/>
      <c r="L10" s="61"/>
      <c r="M10" s="61"/>
      <c r="N10" s="61"/>
      <c r="O10" s="61"/>
    </row>
    <row r="11" spans="1:15">
      <c r="A11" s="61"/>
      <c r="B11" s="61"/>
      <c r="C11" s="61"/>
      <c r="D11" s="61"/>
      <c r="E11" s="61"/>
      <c r="F11" s="61"/>
      <c r="G11" s="61"/>
      <c r="H11" s="61"/>
      <c r="I11" s="61"/>
      <c r="J11" s="61"/>
      <c r="K11" s="61"/>
      <c r="L11" s="61"/>
      <c r="M11" s="61"/>
      <c r="N11" s="61"/>
      <c r="O11" s="61"/>
    </row>
    <row r="12" spans="1:15">
      <c r="A12" s="61"/>
      <c r="B12" s="61"/>
      <c r="C12" s="61"/>
      <c r="D12" s="61"/>
      <c r="E12" s="61"/>
      <c r="F12" s="61"/>
      <c r="G12" s="61"/>
      <c r="H12" s="61"/>
      <c r="I12" s="61"/>
      <c r="J12" s="61"/>
      <c r="K12" s="61"/>
      <c r="L12" s="61"/>
      <c r="M12" s="61"/>
      <c r="N12" s="61"/>
      <c r="O12" s="61"/>
    </row>
    <row r="13" spans="1:15">
      <c r="A13" s="61"/>
      <c r="B13" s="61"/>
      <c r="C13" s="61"/>
      <c r="D13" s="61"/>
      <c r="E13" s="61"/>
      <c r="F13" s="61"/>
      <c r="G13" s="61"/>
      <c r="H13" s="61"/>
      <c r="I13" s="61"/>
      <c r="J13" s="61"/>
      <c r="K13" s="61"/>
      <c r="L13" s="61"/>
      <c r="M13" s="61"/>
      <c r="N13" s="61"/>
      <c r="O13" s="61"/>
    </row>
    <row r="14" spans="1:15">
      <c r="A14" s="61"/>
      <c r="B14" s="61"/>
      <c r="C14" s="61"/>
      <c r="D14" s="61"/>
      <c r="E14" s="61"/>
      <c r="F14" s="61"/>
      <c r="G14" s="61"/>
      <c r="H14" s="61"/>
      <c r="I14" s="61"/>
      <c r="J14" s="61"/>
      <c r="K14" s="61"/>
      <c r="L14" s="61"/>
      <c r="M14" s="61"/>
      <c r="N14" s="61"/>
      <c r="O14" s="61"/>
    </row>
    <row r="15" spans="1:15">
      <c r="A15" s="61"/>
      <c r="B15" s="61"/>
      <c r="C15" s="61"/>
      <c r="D15" s="61"/>
      <c r="E15" s="61"/>
      <c r="F15" s="61"/>
      <c r="G15" s="61"/>
      <c r="H15" s="61"/>
      <c r="I15" s="61"/>
      <c r="J15" s="61"/>
      <c r="K15" s="61"/>
      <c r="L15" s="61"/>
      <c r="M15" s="61"/>
      <c r="N15" s="61"/>
      <c r="O15" s="61"/>
    </row>
    <row r="16" spans="1:15">
      <c r="A16" s="61"/>
      <c r="B16" s="61"/>
      <c r="C16" s="61"/>
      <c r="D16" s="61"/>
      <c r="E16" s="61"/>
      <c r="F16" s="61"/>
      <c r="G16" s="61"/>
      <c r="H16" s="61"/>
      <c r="I16" s="61"/>
      <c r="J16" s="61"/>
      <c r="K16" s="61"/>
      <c r="L16" s="61"/>
      <c r="M16" s="61"/>
      <c r="N16" s="61"/>
      <c r="O16" s="61"/>
    </row>
    <row r="17" spans="1:15">
      <c r="A17" s="61"/>
      <c r="B17" s="61"/>
      <c r="C17" s="61"/>
      <c r="D17" s="61"/>
      <c r="E17" s="61"/>
      <c r="F17" s="61"/>
      <c r="G17" s="61"/>
      <c r="H17" s="61"/>
      <c r="I17" s="61"/>
      <c r="J17" s="61"/>
      <c r="K17" s="61"/>
      <c r="L17" s="61"/>
      <c r="M17" s="61"/>
      <c r="N17" s="61"/>
      <c r="O17" s="61"/>
    </row>
    <row r="18" spans="1:15">
      <c r="A18" s="61"/>
      <c r="B18" s="61"/>
      <c r="C18" s="61"/>
      <c r="D18" s="61"/>
      <c r="E18" s="61"/>
      <c r="F18" s="61"/>
      <c r="G18" s="61"/>
      <c r="H18" s="61"/>
      <c r="I18" s="61"/>
      <c r="J18" s="61"/>
      <c r="K18" s="61"/>
      <c r="L18" s="61"/>
      <c r="M18" s="61"/>
      <c r="N18" s="61"/>
      <c r="O18" s="61"/>
    </row>
  </sheetData>
  <phoneticPr fontId="4" type="noConversion"/>
  <pageMargins left="0.7" right="0.7" top="0.75" bottom="0.75" header="0.3" footer="0.3"/>
  <pageSetup paperSize="9" orientation="landscape" r:id="rId1"/>
  <headerFooter>
    <oddHeader>&amp;L&amp;"標楷體,標準"文件編號：ISMS-2-05-1
制訂單位：資訊部&amp;C&amp;"標楷體,標準"新光醫療財團法人新光吳火獅醫院
組態管理紀錄表&amp;R&amp;"標楷體,標準"機密等級：密             版本：3.0
更新日期：               頁數：&amp;P/&amp;N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9183C-93A6-48F9-A94F-CAF42F811E08}">
  <dimension ref="A1:N16"/>
  <sheetViews>
    <sheetView zoomScaleNormal="100" workbookViewId="0">
      <selection activeCell="B7" sqref="B7"/>
    </sheetView>
  </sheetViews>
  <sheetFormatPr defaultRowHeight="16.5"/>
  <cols>
    <col min="1" max="1" width="5.625" bestFit="1" customWidth="1"/>
    <col min="2" max="3" width="24.125" bestFit="1" customWidth="1"/>
    <col min="4" max="4" width="3.5" bestFit="1" customWidth="1"/>
    <col min="5" max="5" width="17.125" bestFit="1" customWidth="1"/>
    <col min="6" max="7" width="4.5" bestFit="1" customWidth="1"/>
    <col min="8" max="9" width="10" bestFit="1" customWidth="1"/>
    <col min="10" max="10" width="18.25" bestFit="1" customWidth="1"/>
    <col min="11" max="11" width="10" bestFit="1" customWidth="1"/>
    <col min="12" max="12" width="10" customWidth="1"/>
    <col min="13" max="13" width="17.125" bestFit="1" customWidth="1"/>
  </cols>
  <sheetData>
    <row r="1" spans="1:14" s="6" customFormat="1">
      <c r="A1" s="61" t="s">
        <v>2</v>
      </c>
      <c r="B1" s="61" t="s">
        <v>508</v>
      </c>
      <c r="C1" s="61" t="s">
        <v>497</v>
      </c>
      <c r="D1" s="63" t="s">
        <v>498</v>
      </c>
      <c r="E1" s="63" t="s">
        <v>509</v>
      </c>
      <c r="F1" s="64" t="s">
        <v>502</v>
      </c>
      <c r="G1" s="64" t="s">
        <v>503</v>
      </c>
      <c r="H1" s="64" t="s">
        <v>504</v>
      </c>
      <c r="I1" s="64" t="s">
        <v>510</v>
      </c>
      <c r="J1" s="65" t="s">
        <v>511</v>
      </c>
      <c r="K1" s="65" t="s">
        <v>471</v>
      </c>
      <c r="L1" s="65" t="s">
        <v>512</v>
      </c>
      <c r="M1" s="66" t="s">
        <v>507</v>
      </c>
      <c r="N1" s="61" t="s">
        <v>473</v>
      </c>
    </row>
    <row r="2" spans="1:14">
      <c r="A2" s="62" t="s">
        <v>109</v>
      </c>
      <c r="B2" s="62" t="s">
        <v>513</v>
      </c>
      <c r="C2" s="62"/>
      <c r="D2" s="62"/>
      <c r="E2" s="62"/>
      <c r="F2" s="62"/>
      <c r="G2" s="62"/>
      <c r="H2" s="62"/>
      <c r="I2" s="62"/>
      <c r="J2" s="62"/>
      <c r="K2" s="62"/>
      <c r="L2" s="62"/>
      <c r="M2" s="62"/>
      <c r="N2" s="62"/>
    </row>
    <row r="3" spans="1:14">
      <c r="A3" s="62" t="s">
        <v>514</v>
      </c>
      <c r="B3" s="62" t="s">
        <v>515</v>
      </c>
      <c r="C3" s="62"/>
      <c r="D3" s="62"/>
      <c r="E3" s="62"/>
      <c r="F3" s="62"/>
      <c r="G3" s="62"/>
      <c r="H3" s="62"/>
      <c r="I3" s="62"/>
      <c r="J3" s="62"/>
      <c r="K3" s="62"/>
      <c r="L3" s="62"/>
      <c r="M3" s="62"/>
      <c r="N3" s="62"/>
    </row>
    <row r="4" spans="1:14">
      <c r="A4" s="62" t="s">
        <v>516</v>
      </c>
      <c r="B4" s="62" t="s">
        <v>513</v>
      </c>
      <c r="C4" s="62"/>
      <c r="D4" s="62"/>
      <c r="E4" s="62"/>
      <c r="F4" s="62"/>
      <c r="G4" s="62"/>
      <c r="H4" s="62"/>
      <c r="I4" s="62"/>
      <c r="J4" s="62"/>
      <c r="K4" s="62"/>
      <c r="L4" s="62"/>
      <c r="M4" s="62"/>
      <c r="N4" s="62"/>
    </row>
    <row r="5" spans="1:14">
      <c r="A5" s="62" t="s">
        <v>517</v>
      </c>
      <c r="B5" s="62" t="s">
        <v>518</v>
      </c>
      <c r="C5" s="62"/>
      <c r="D5" s="62"/>
      <c r="E5" s="62"/>
      <c r="F5" s="62"/>
      <c r="G5" s="62"/>
      <c r="H5" s="62"/>
      <c r="I5" s="62"/>
      <c r="J5" s="62"/>
      <c r="K5" s="62"/>
      <c r="L5" s="62"/>
      <c r="M5" s="62"/>
      <c r="N5" s="62"/>
    </row>
    <row r="6" spans="1:14">
      <c r="A6" s="62"/>
      <c r="B6" s="62"/>
      <c r="C6" s="62"/>
      <c r="D6" s="62"/>
      <c r="E6" s="62"/>
      <c r="F6" s="62"/>
      <c r="G6" s="62"/>
      <c r="H6" s="62"/>
      <c r="I6" s="62"/>
      <c r="J6" s="62"/>
      <c r="K6" s="62"/>
      <c r="L6" s="62"/>
      <c r="M6" s="62"/>
      <c r="N6" s="62"/>
    </row>
    <row r="7" spans="1:14">
      <c r="A7" s="62"/>
      <c r="B7" s="62"/>
      <c r="C7" s="62"/>
      <c r="D7" s="62"/>
      <c r="E7" s="62"/>
      <c r="F7" s="62"/>
      <c r="G7" s="62"/>
      <c r="H7" s="62"/>
      <c r="I7" s="62"/>
      <c r="J7" s="62"/>
      <c r="K7" s="62"/>
      <c r="L7" s="62"/>
      <c r="M7" s="62"/>
      <c r="N7" s="62"/>
    </row>
    <row r="8" spans="1:14">
      <c r="A8" s="62"/>
      <c r="B8" s="62"/>
      <c r="C8" s="62"/>
      <c r="D8" s="62"/>
      <c r="E8" s="62"/>
      <c r="F8" s="62"/>
      <c r="G8" s="62"/>
      <c r="H8" s="62"/>
      <c r="I8" s="62"/>
      <c r="J8" s="62"/>
      <c r="K8" s="62"/>
      <c r="L8" s="62"/>
      <c r="M8" s="62"/>
      <c r="N8" s="62"/>
    </row>
    <row r="9" spans="1:14">
      <c r="A9" s="62"/>
      <c r="B9" s="62"/>
      <c r="C9" s="62"/>
      <c r="D9" s="62"/>
      <c r="E9" s="62"/>
      <c r="F9" s="62"/>
      <c r="G9" s="62"/>
      <c r="H9" s="62"/>
      <c r="I9" s="62"/>
      <c r="J9" s="62"/>
      <c r="K9" s="62"/>
      <c r="L9" s="62"/>
      <c r="M9" s="62"/>
      <c r="N9" s="62"/>
    </row>
    <row r="10" spans="1:14">
      <c r="A10" s="62"/>
      <c r="B10" s="62"/>
      <c r="C10" s="62"/>
      <c r="D10" s="62"/>
      <c r="E10" s="62"/>
      <c r="F10" s="62"/>
      <c r="G10" s="62"/>
      <c r="H10" s="62"/>
      <c r="I10" s="62"/>
      <c r="J10" s="62"/>
      <c r="K10" s="62"/>
      <c r="L10" s="62"/>
      <c r="M10" s="62"/>
      <c r="N10" s="62"/>
    </row>
    <row r="11" spans="1:14">
      <c r="A11" s="62"/>
      <c r="B11" s="62"/>
      <c r="C11" s="62"/>
      <c r="D11" s="62"/>
      <c r="E11" s="62"/>
      <c r="F11" s="62"/>
      <c r="G11" s="62"/>
      <c r="H11" s="62"/>
      <c r="I11" s="62"/>
      <c r="J11" s="62"/>
      <c r="K11" s="62"/>
      <c r="L11" s="62"/>
      <c r="M11" s="62"/>
      <c r="N11" s="62"/>
    </row>
    <row r="12" spans="1:14">
      <c r="A12" s="62"/>
      <c r="B12" s="62"/>
      <c r="C12" s="62"/>
      <c r="D12" s="62"/>
      <c r="E12" s="62"/>
      <c r="F12" s="62"/>
      <c r="G12" s="62"/>
      <c r="H12" s="62"/>
      <c r="I12" s="62"/>
      <c r="J12" s="62"/>
      <c r="K12" s="62"/>
      <c r="L12" s="62"/>
      <c r="M12" s="62"/>
      <c r="N12" s="62"/>
    </row>
    <row r="13" spans="1:14">
      <c r="A13" s="62"/>
      <c r="B13" s="62"/>
      <c r="C13" s="62"/>
      <c r="D13" s="62"/>
      <c r="E13" s="62"/>
      <c r="F13" s="62"/>
      <c r="G13" s="62"/>
      <c r="H13" s="62"/>
      <c r="I13" s="62"/>
      <c r="J13" s="62"/>
      <c r="K13" s="62"/>
      <c r="L13" s="62"/>
      <c r="M13" s="62"/>
      <c r="N13" s="62"/>
    </row>
    <row r="14" spans="1:14">
      <c r="A14" s="62"/>
      <c r="B14" s="62"/>
      <c r="C14" s="62"/>
      <c r="D14" s="62"/>
      <c r="E14" s="62"/>
      <c r="F14" s="62"/>
      <c r="G14" s="62"/>
      <c r="H14" s="62"/>
      <c r="I14" s="62"/>
      <c r="J14" s="62"/>
      <c r="K14" s="62"/>
      <c r="L14" s="62"/>
      <c r="M14" s="62"/>
      <c r="N14" s="62"/>
    </row>
    <row r="15" spans="1:14">
      <c r="A15" s="62"/>
      <c r="B15" s="62"/>
      <c r="C15" s="62"/>
      <c r="D15" s="62"/>
      <c r="E15" s="62"/>
      <c r="F15" s="62"/>
      <c r="G15" s="62"/>
      <c r="H15" s="62"/>
      <c r="I15" s="62"/>
      <c r="J15" s="62"/>
      <c r="K15" s="62"/>
      <c r="L15" s="62"/>
      <c r="M15" s="62"/>
      <c r="N15" s="62"/>
    </row>
    <row r="16" spans="1:14">
      <c r="A16" s="62"/>
      <c r="B16" s="62"/>
      <c r="C16" s="62"/>
      <c r="D16" s="62"/>
      <c r="E16" s="62"/>
      <c r="F16" s="62"/>
      <c r="G16" s="62"/>
      <c r="H16" s="62"/>
      <c r="I16" s="62"/>
      <c r="J16" s="62"/>
      <c r="K16" s="62"/>
      <c r="L16" s="62"/>
      <c r="M16" s="62"/>
      <c r="N16" s="62"/>
    </row>
  </sheetData>
  <phoneticPr fontId="4" type="noConversion"/>
  <pageMargins left="0.7" right="0.7" top="0.75" bottom="0.75" header="0.3" footer="0.3"/>
  <pageSetup paperSize="9" orientation="landscape" r:id="rId1"/>
  <headerFooter>
    <oddHeader>&amp;L&amp;"標楷體,標準"文件編號：ISMS-2-05-1
制訂單位：資訊部&amp;C&amp;"標楷體,標準"新光醫療財團法人新光吳火獅醫院
組態管理紀錄表&amp;R&amp;"標楷體,標準"機密等級：密             版本：3.0
更新日期：               頁數：&amp;P/&amp;N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0ABD7-1351-4AFC-A3DC-39DE6787386F}">
  <dimension ref="A1:L16"/>
  <sheetViews>
    <sheetView zoomScaleNormal="100" workbookViewId="0">
      <selection activeCell="H16" sqref="H16"/>
    </sheetView>
  </sheetViews>
  <sheetFormatPr defaultColWidth="8.75" defaultRowHeight="16.5"/>
  <cols>
    <col min="1" max="1" width="8.75" style="6"/>
    <col min="2" max="2" width="31.125" style="6" bestFit="1" customWidth="1"/>
    <col min="3" max="3" width="26.5" style="6" bestFit="1" customWidth="1"/>
    <col min="4" max="4" width="11.75" style="6" bestFit="1" customWidth="1"/>
    <col min="5" max="5" width="8.75" style="6"/>
    <col min="6" max="6" width="17.125" style="6" bestFit="1" customWidth="1"/>
    <col min="7" max="7" width="10" style="6" bestFit="1" customWidth="1"/>
    <col min="8" max="8" width="18" style="6" customWidth="1"/>
    <col min="9" max="9" width="8.75" style="6"/>
    <col min="10" max="10" width="17.5" style="6" bestFit="1" customWidth="1"/>
    <col min="11" max="11" width="10" style="6" bestFit="1" customWidth="1"/>
    <col min="12" max="16384" width="8.75" style="6"/>
  </cols>
  <sheetData>
    <row r="1" spans="1:12">
      <c r="A1" s="61" t="s">
        <v>2</v>
      </c>
      <c r="B1" s="61" t="s">
        <v>519</v>
      </c>
      <c r="C1" s="61" t="s">
        <v>520</v>
      </c>
      <c r="D1" s="67" t="s">
        <v>498</v>
      </c>
      <c r="E1" s="67" t="s">
        <v>521</v>
      </c>
      <c r="F1" s="67" t="s">
        <v>522</v>
      </c>
      <c r="G1" s="63" t="s">
        <v>523</v>
      </c>
      <c r="H1" s="63" t="s">
        <v>464</v>
      </c>
      <c r="I1" s="63" t="s">
        <v>471</v>
      </c>
      <c r="J1" s="64" t="s">
        <v>524</v>
      </c>
      <c r="K1" s="64" t="s">
        <v>471</v>
      </c>
      <c r="L1" s="63" t="s">
        <v>473</v>
      </c>
    </row>
    <row r="2" spans="1:12" ht="15">
      <c r="A2" s="61"/>
      <c r="B2" s="61" t="s">
        <v>525</v>
      </c>
      <c r="C2" s="68" t="s">
        <v>526</v>
      </c>
      <c r="D2" s="68" t="s">
        <v>527</v>
      </c>
      <c r="E2" s="68" t="s">
        <v>528</v>
      </c>
      <c r="F2" s="68" t="s">
        <v>529</v>
      </c>
      <c r="G2" s="68" t="s">
        <v>530</v>
      </c>
      <c r="H2" s="68" t="s">
        <v>531</v>
      </c>
      <c r="I2" s="61"/>
      <c r="J2" s="61"/>
      <c r="K2" s="61"/>
      <c r="L2" s="61"/>
    </row>
    <row r="3" spans="1:12" ht="15">
      <c r="A3" s="61"/>
      <c r="B3" s="69" t="s">
        <v>532</v>
      </c>
      <c r="C3" s="70" t="s">
        <v>533</v>
      </c>
      <c r="D3" s="70" t="s">
        <v>534</v>
      </c>
      <c r="E3" s="70" t="s">
        <v>528</v>
      </c>
      <c r="F3" s="70" t="s">
        <v>529</v>
      </c>
      <c r="G3" s="70" t="s">
        <v>530</v>
      </c>
      <c r="H3" s="70" t="s">
        <v>535</v>
      </c>
      <c r="I3" s="61"/>
      <c r="J3" s="61"/>
      <c r="K3" s="61"/>
      <c r="L3" s="61"/>
    </row>
    <row r="4" spans="1:12" ht="15">
      <c r="A4" s="61"/>
      <c r="B4" s="71" t="s">
        <v>536</v>
      </c>
      <c r="C4" s="72" t="s">
        <v>526</v>
      </c>
      <c r="D4" s="6" t="s">
        <v>537</v>
      </c>
      <c r="E4" s="71" t="s">
        <v>528</v>
      </c>
      <c r="F4" s="72" t="s">
        <v>529</v>
      </c>
      <c r="G4" s="72" t="s">
        <v>530</v>
      </c>
      <c r="H4" s="72" t="s">
        <v>535</v>
      </c>
      <c r="I4" s="61"/>
      <c r="J4" s="61"/>
      <c r="K4" s="61"/>
      <c r="L4" s="61"/>
    </row>
    <row r="5" spans="1:12" ht="15">
      <c r="A5" s="61"/>
      <c r="B5" s="61" t="s">
        <v>525</v>
      </c>
      <c r="C5" s="68" t="s">
        <v>538</v>
      </c>
      <c r="D5" s="68" t="s">
        <v>539</v>
      </c>
      <c r="E5" s="68" t="s">
        <v>528</v>
      </c>
      <c r="F5" s="68" t="s">
        <v>540</v>
      </c>
      <c r="G5" s="68" t="s">
        <v>541</v>
      </c>
      <c r="H5" s="68" t="s">
        <v>542</v>
      </c>
      <c r="I5" s="61"/>
      <c r="J5" s="61"/>
      <c r="K5" s="61"/>
      <c r="L5" s="61"/>
    </row>
    <row r="6" spans="1:12" ht="15">
      <c r="A6" s="61"/>
      <c r="B6" s="69" t="s">
        <v>543</v>
      </c>
      <c r="C6" s="70" t="s">
        <v>544</v>
      </c>
      <c r="D6" s="6" t="s">
        <v>545</v>
      </c>
      <c r="E6" s="69" t="s">
        <v>528</v>
      </c>
      <c r="F6" s="70" t="s">
        <v>546</v>
      </c>
      <c r="G6" s="70" t="s">
        <v>547</v>
      </c>
      <c r="H6" s="70" t="s">
        <v>548</v>
      </c>
      <c r="I6" s="61"/>
      <c r="J6" s="61"/>
      <c r="K6" s="61"/>
      <c r="L6" s="61"/>
    </row>
    <row r="7" spans="1:12" ht="15">
      <c r="A7" s="61"/>
      <c r="B7" s="69" t="s">
        <v>549</v>
      </c>
      <c r="C7" s="70" t="s">
        <v>550</v>
      </c>
      <c r="D7" s="68" t="s">
        <v>551</v>
      </c>
      <c r="E7" s="70" t="s">
        <v>528</v>
      </c>
      <c r="F7" s="70" t="s">
        <v>552</v>
      </c>
      <c r="G7" s="70" t="s">
        <v>553</v>
      </c>
      <c r="H7" s="70" t="s">
        <v>554</v>
      </c>
      <c r="I7" s="61"/>
      <c r="J7" s="61"/>
      <c r="K7" s="61"/>
      <c r="L7" s="61"/>
    </row>
    <row r="8" spans="1:12" ht="15">
      <c r="A8" s="61"/>
      <c r="B8" s="69" t="s">
        <v>555</v>
      </c>
      <c r="C8" s="70" t="s">
        <v>556</v>
      </c>
      <c r="D8" s="70" t="s">
        <v>557</v>
      </c>
      <c r="E8" s="70" t="s">
        <v>528</v>
      </c>
      <c r="F8" s="70" t="s">
        <v>552</v>
      </c>
      <c r="G8" s="70" t="s">
        <v>558</v>
      </c>
      <c r="H8" s="70" t="s">
        <v>559</v>
      </c>
      <c r="I8" s="61"/>
      <c r="J8" s="61"/>
      <c r="K8" s="61"/>
      <c r="L8" s="61"/>
    </row>
    <row r="9" spans="1:12" ht="15">
      <c r="A9" s="61"/>
      <c r="B9" s="69" t="s">
        <v>560</v>
      </c>
      <c r="C9" s="70" t="s">
        <v>556</v>
      </c>
      <c r="D9" s="70" t="s">
        <v>561</v>
      </c>
      <c r="E9" s="70" t="s">
        <v>528</v>
      </c>
      <c r="F9" s="70" t="s">
        <v>552</v>
      </c>
      <c r="G9" s="70" t="s">
        <v>558</v>
      </c>
      <c r="H9" s="70" t="s">
        <v>562</v>
      </c>
      <c r="I9" s="61"/>
      <c r="J9" s="61"/>
      <c r="K9" s="61"/>
      <c r="L9" s="61"/>
    </row>
    <row r="10" spans="1:12" ht="15">
      <c r="A10" s="61"/>
      <c r="B10" s="69" t="s">
        <v>563</v>
      </c>
      <c r="C10" s="70" t="s">
        <v>556</v>
      </c>
      <c r="D10" s="70" t="s">
        <v>564</v>
      </c>
      <c r="E10" s="70" t="s">
        <v>528</v>
      </c>
      <c r="F10" s="70" t="s">
        <v>552</v>
      </c>
      <c r="G10" s="70" t="s">
        <v>558</v>
      </c>
      <c r="H10" s="70" t="s">
        <v>562</v>
      </c>
      <c r="I10" s="61"/>
      <c r="J10" s="61"/>
      <c r="K10" s="61"/>
      <c r="L10" s="61"/>
    </row>
    <row r="11" spans="1:12" ht="15">
      <c r="A11" s="61"/>
      <c r="B11" s="69" t="s">
        <v>565</v>
      </c>
      <c r="C11" s="70" t="s">
        <v>566</v>
      </c>
      <c r="D11" s="70" t="s">
        <v>567</v>
      </c>
      <c r="E11" s="70" t="s">
        <v>528</v>
      </c>
      <c r="F11" s="70" t="s">
        <v>552</v>
      </c>
      <c r="G11" s="70" t="s">
        <v>568</v>
      </c>
      <c r="H11" s="70" t="s">
        <v>569</v>
      </c>
      <c r="I11" s="61"/>
      <c r="J11" s="61"/>
      <c r="K11" s="61"/>
      <c r="L11" s="61"/>
    </row>
    <row r="12" spans="1:12">
      <c r="A12" s="61"/>
      <c r="B12" s="61"/>
      <c r="C12" s="61"/>
      <c r="D12" s="61"/>
      <c r="E12" s="61"/>
      <c r="F12" s="61"/>
      <c r="G12" s="61"/>
      <c r="H12" s="61"/>
      <c r="I12" s="61"/>
      <c r="J12" s="61"/>
      <c r="K12" s="61"/>
      <c r="L12" s="61"/>
    </row>
    <row r="13" spans="1:12">
      <c r="A13" s="61"/>
      <c r="B13" s="61"/>
      <c r="C13" s="61"/>
      <c r="D13" s="61"/>
      <c r="E13" s="61"/>
      <c r="F13" s="61"/>
      <c r="G13" s="61"/>
      <c r="H13" s="61"/>
      <c r="I13" s="61"/>
      <c r="J13" s="61"/>
      <c r="K13" s="61"/>
      <c r="L13" s="61"/>
    </row>
    <row r="14" spans="1:12">
      <c r="A14" s="61"/>
      <c r="B14" s="61"/>
      <c r="C14" s="61"/>
      <c r="D14" s="61"/>
      <c r="E14" s="61"/>
      <c r="F14" s="61"/>
      <c r="G14" s="61"/>
      <c r="H14" s="61"/>
      <c r="I14" s="61"/>
      <c r="J14" s="61"/>
      <c r="K14" s="61"/>
      <c r="L14" s="61"/>
    </row>
    <row r="15" spans="1:12">
      <c r="A15" s="61"/>
      <c r="B15" s="61"/>
      <c r="C15" s="61"/>
      <c r="D15" s="61"/>
      <c r="E15" s="61"/>
      <c r="F15" s="61"/>
      <c r="G15" s="61"/>
      <c r="H15" s="61"/>
      <c r="I15" s="61"/>
      <c r="J15" s="61"/>
      <c r="K15" s="61"/>
      <c r="L15" s="61"/>
    </row>
    <row r="16" spans="1:12">
      <c r="A16" s="61"/>
      <c r="B16" s="61"/>
      <c r="C16" s="61"/>
      <c r="D16" s="61"/>
      <c r="E16" s="61"/>
      <c r="F16" s="61"/>
      <c r="G16" s="61"/>
      <c r="H16" s="61"/>
      <c r="I16" s="61"/>
      <c r="J16" s="61"/>
      <c r="K16" s="61"/>
      <c r="L16" s="61"/>
    </row>
  </sheetData>
  <phoneticPr fontId="4" type="noConversion"/>
  <pageMargins left="0.7" right="0.7" top="0.75" bottom="0.75" header="0.3" footer="0.3"/>
  <pageSetup paperSize="9" orientation="landscape" r:id="rId1"/>
  <headerFooter>
    <oddHeader>&amp;L&amp;"標楷體,標準"文件編號：ISMS-2-05-1
制訂單位：資訊部&amp;C&amp;"標楷體,標準"新光醫療財團法人新光吳火獅醫院
組態管理紀錄表&amp;R&amp;"標楷體,標準"機密等級：密             版本：3.0
更新日期：               頁數：&amp;P/&amp;N</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C28A1-D555-4A3A-8147-FC7064C2AA25}">
  <dimension ref="A1:I17"/>
  <sheetViews>
    <sheetView zoomScaleNormal="100" workbookViewId="0">
      <selection activeCell="B11" sqref="B11"/>
    </sheetView>
  </sheetViews>
  <sheetFormatPr defaultColWidth="8.75" defaultRowHeight="16.5"/>
  <cols>
    <col min="1" max="1" width="8.75" style="6"/>
    <col min="2" max="2" width="31.125" style="6" bestFit="1" customWidth="1"/>
    <col min="3" max="3" width="12.375" style="6" bestFit="1" customWidth="1"/>
    <col min="4" max="5" width="8.75" style="6"/>
    <col min="6" max="7" width="10" style="6" bestFit="1" customWidth="1"/>
    <col min="8" max="8" width="5.625" style="6" bestFit="1" customWidth="1"/>
    <col min="9" max="16384" width="8.75" style="6"/>
  </cols>
  <sheetData>
    <row r="1" spans="1:9">
      <c r="A1" s="61" t="s">
        <v>2</v>
      </c>
      <c r="B1" s="61" t="s">
        <v>570</v>
      </c>
      <c r="C1" s="61" t="s">
        <v>571</v>
      </c>
      <c r="D1" s="61" t="s">
        <v>572</v>
      </c>
      <c r="E1" s="61" t="s">
        <v>573</v>
      </c>
      <c r="F1" s="61" t="s">
        <v>574</v>
      </c>
      <c r="G1" s="61" t="s">
        <v>575</v>
      </c>
      <c r="H1" s="61" t="s">
        <v>576</v>
      </c>
      <c r="I1" s="61" t="s">
        <v>473</v>
      </c>
    </row>
    <row r="2" spans="1:9">
      <c r="A2" s="61" t="s">
        <v>80</v>
      </c>
      <c r="B2" s="61" t="s">
        <v>81</v>
      </c>
      <c r="C2" s="61"/>
      <c r="D2" s="61"/>
      <c r="E2" s="61"/>
      <c r="F2" s="61"/>
      <c r="G2" s="61"/>
      <c r="H2" s="61"/>
      <c r="I2" s="61"/>
    </row>
    <row r="3" spans="1:9">
      <c r="A3" s="61" t="s">
        <v>577</v>
      </c>
      <c r="B3" s="61" t="s">
        <v>84</v>
      </c>
      <c r="C3" s="61"/>
      <c r="D3" s="61"/>
      <c r="E3" s="61"/>
      <c r="F3" s="61"/>
      <c r="G3" s="61"/>
      <c r="H3" s="61"/>
      <c r="I3" s="61"/>
    </row>
    <row r="4" spans="1:9">
      <c r="A4" s="61" t="s">
        <v>578</v>
      </c>
      <c r="B4" s="61" t="s">
        <v>579</v>
      </c>
      <c r="C4" s="61"/>
      <c r="D4" s="61"/>
      <c r="E4" s="61"/>
      <c r="F4" s="61"/>
      <c r="G4" s="61"/>
      <c r="H4" s="61"/>
      <c r="I4" s="61"/>
    </row>
    <row r="5" spans="1:9">
      <c r="A5" s="61"/>
      <c r="B5" s="61"/>
      <c r="C5" s="61"/>
      <c r="D5" s="61"/>
      <c r="E5" s="61"/>
      <c r="F5" s="61"/>
      <c r="G5" s="61"/>
      <c r="H5" s="61"/>
      <c r="I5" s="61"/>
    </row>
    <row r="6" spans="1:9">
      <c r="A6" s="61"/>
      <c r="B6" s="61"/>
      <c r="C6" s="61"/>
      <c r="D6" s="61"/>
      <c r="E6" s="61"/>
      <c r="F6" s="61"/>
      <c r="G6" s="61"/>
      <c r="H6" s="61"/>
      <c r="I6" s="61"/>
    </row>
    <row r="7" spans="1:9">
      <c r="A7" s="61"/>
      <c r="B7" s="61"/>
      <c r="C7" s="61"/>
      <c r="D7" s="61"/>
      <c r="E7" s="61"/>
      <c r="F7" s="61"/>
      <c r="G7" s="61"/>
      <c r="H7" s="61"/>
      <c r="I7" s="61"/>
    </row>
    <row r="8" spans="1:9">
      <c r="A8" s="61"/>
      <c r="B8" s="61"/>
      <c r="C8" s="61"/>
      <c r="D8" s="61"/>
      <c r="E8" s="61"/>
      <c r="F8" s="61"/>
      <c r="G8" s="61"/>
      <c r="H8" s="61"/>
      <c r="I8" s="61"/>
    </row>
    <row r="9" spans="1:9">
      <c r="A9" s="61"/>
      <c r="B9" s="61"/>
      <c r="C9" s="61"/>
      <c r="D9" s="61"/>
      <c r="E9" s="61"/>
      <c r="F9" s="61"/>
      <c r="G9" s="61"/>
      <c r="H9" s="61"/>
      <c r="I9" s="61"/>
    </row>
    <row r="10" spans="1:9">
      <c r="A10" s="61"/>
      <c r="B10" s="61"/>
      <c r="C10" s="61"/>
      <c r="D10" s="61"/>
      <c r="E10" s="61"/>
      <c r="F10" s="61"/>
      <c r="G10" s="61"/>
      <c r="H10" s="61"/>
      <c r="I10" s="61"/>
    </row>
    <row r="11" spans="1:9">
      <c r="A11" s="61"/>
      <c r="B11" s="61"/>
      <c r="C11" s="61"/>
      <c r="D11" s="61"/>
      <c r="E11" s="61"/>
      <c r="F11" s="61"/>
      <c r="G11" s="61"/>
      <c r="H11" s="61"/>
      <c r="I11" s="61"/>
    </row>
    <row r="12" spans="1:9">
      <c r="A12" s="61"/>
      <c r="B12" s="61"/>
      <c r="C12" s="61"/>
      <c r="D12" s="61"/>
      <c r="E12" s="61"/>
      <c r="F12" s="61"/>
      <c r="G12" s="61"/>
      <c r="H12" s="61"/>
      <c r="I12" s="61"/>
    </row>
    <row r="13" spans="1:9">
      <c r="A13" s="61"/>
      <c r="B13" s="61"/>
      <c r="C13" s="61"/>
      <c r="D13" s="61"/>
      <c r="E13" s="61"/>
      <c r="F13" s="61"/>
      <c r="G13" s="61"/>
      <c r="H13" s="61"/>
      <c r="I13" s="61"/>
    </row>
    <row r="14" spans="1:9">
      <c r="A14" s="61"/>
      <c r="B14" s="61"/>
      <c r="C14" s="61"/>
      <c r="D14" s="61"/>
      <c r="E14" s="61"/>
      <c r="F14" s="61"/>
      <c r="G14" s="61"/>
      <c r="H14" s="61"/>
      <c r="I14" s="61"/>
    </row>
    <row r="15" spans="1:9">
      <c r="A15" s="61"/>
      <c r="B15" s="61"/>
      <c r="C15" s="61"/>
      <c r="D15" s="61"/>
      <c r="E15" s="61"/>
      <c r="F15" s="61"/>
      <c r="G15" s="61"/>
      <c r="H15" s="61"/>
      <c r="I15" s="61"/>
    </row>
    <row r="16" spans="1:9">
      <c r="A16" s="61"/>
      <c r="B16" s="61"/>
      <c r="C16" s="61"/>
      <c r="D16" s="61"/>
      <c r="E16" s="61"/>
      <c r="F16" s="61"/>
      <c r="G16" s="61"/>
      <c r="H16" s="61"/>
      <c r="I16" s="61"/>
    </row>
    <row r="17" spans="1:9">
      <c r="A17" s="61"/>
      <c r="B17" s="61"/>
      <c r="C17" s="61"/>
      <c r="D17" s="61"/>
      <c r="E17" s="61"/>
      <c r="F17" s="61"/>
      <c r="G17" s="61"/>
      <c r="H17" s="61"/>
      <c r="I17" s="61"/>
    </row>
  </sheetData>
  <phoneticPr fontId="4" type="noConversion"/>
  <pageMargins left="0.7" right="0.7" top="0.75" bottom="0.75" header="0.3" footer="0.3"/>
  <pageSetup paperSize="9" orientation="landscape" r:id="rId1"/>
  <headerFooter>
    <oddHeader>&amp;L&amp;"標楷體,標準"文件編號：ISMS-2-05-1
制訂單位：資訊部&amp;C&amp;"標楷體,標準"新光醫療財團法人新光吳火獅醫院
組態管理紀錄表&amp;R&amp;"標楷體,標準"機密等級：密             版本：3.0
更新日期：               頁數：&amp;P/&amp;N</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AD025-B54A-444A-AFE5-4A6AC1AF5E17}">
  <dimension ref="A1:N24"/>
  <sheetViews>
    <sheetView tabSelected="1" workbookViewId="0">
      <selection activeCell="A2" sqref="A2:XFD8"/>
    </sheetView>
  </sheetViews>
  <sheetFormatPr defaultRowHeight="15"/>
  <sheetData>
    <row r="1" spans="1:14" ht="99.75">
      <c r="A1" s="96" t="s">
        <v>580</v>
      </c>
      <c r="B1" s="97" t="s">
        <v>581</v>
      </c>
      <c r="C1" s="97" t="s">
        <v>571</v>
      </c>
      <c r="D1" s="98" t="s">
        <v>582</v>
      </c>
      <c r="E1" s="98" t="s">
        <v>583</v>
      </c>
      <c r="F1" s="97" t="s">
        <v>584</v>
      </c>
      <c r="G1" s="98" t="s">
        <v>585</v>
      </c>
      <c r="H1" s="98" t="s">
        <v>586</v>
      </c>
      <c r="I1" s="98" t="s">
        <v>587</v>
      </c>
      <c r="J1" s="98" t="s">
        <v>588</v>
      </c>
      <c r="K1" s="98" t="s">
        <v>589</v>
      </c>
      <c r="L1" s="97" t="s">
        <v>590</v>
      </c>
      <c r="M1" s="98" t="s">
        <v>591</v>
      </c>
      <c r="N1" s="99" t="s">
        <v>592</v>
      </c>
    </row>
    <row r="2" spans="1:14">
      <c r="A2" s="100"/>
      <c r="B2" s="101"/>
      <c r="C2" s="101"/>
      <c r="D2" s="101"/>
      <c r="E2" s="101"/>
      <c r="F2" s="101"/>
      <c r="G2" s="101"/>
      <c r="H2" s="101"/>
      <c r="I2" s="101"/>
      <c r="J2" s="101"/>
      <c r="K2" s="101"/>
      <c r="L2" s="101"/>
      <c r="M2" s="101"/>
      <c r="N2" s="102"/>
    </row>
    <row r="3" spans="1:14">
      <c r="A3" s="100"/>
      <c r="B3" s="103"/>
      <c r="C3" s="103"/>
      <c r="D3" s="103"/>
      <c r="E3" s="103"/>
      <c r="F3" s="103"/>
      <c r="G3" s="103"/>
      <c r="H3" s="103"/>
      <c r="I3" s="103"/>
      <c r="J3" s="104"/>
      <c r="K3" s="105"/>
      <c r="L3" s="103"/>
      <c r="M3" s="103"/>
      <c r="N3" s="106"/>
    </row>
    <row r="4" spans="1:14">
      <c r="A4" s="100"/>
      <c r="B4" s="103"/>
      <c r="C4" s="103"/>
      <c r="D4" s="103"/>
      <c r="E4" s="103"/>
      <c r="F4" s="103"/>
      <c r="G4" s="103"/>
      <c r="H4" s="103"/>
      <c r="I4" s="103"/>
      <c r="J4" s="107"/>
      <c r="K4" s="103"/>
      <c r="L4" s="103"/>
      <c r="M4" s="103"/>
      <c r="N4" s="106"/>
    </row>
    <row r="5" spans="1:14">
      <c r="A5" s="100"/>
      <c r="B5" s="103"/>
      <c r="C5" s="103"/>
      <c r="D5" s="103"/>
      <c r="E5" s="103"/>
      <c r="F5" s="103"/>
      <c r="G5" s="103"/>
      <c r="H5" s="103"/>
      <c r="I5" s="103"/>
      <c r="J5" s="103"/>
      <c r="K5" s="103"/>
      <c r="L5" s="103"/>
      <c r="M5" s="103"/>
      <c r="N5" s="106"/>
    </row>
    <row r="6" spans="1:14">
      <c r="A6" s="100"/>
      <c r="B6" s="103"/>
      <c r="C6" s="103"/>
      <c r="D6" s="103"/>
      <c r="E6" s="103"/>
      <c r="F6" s="103"/>
      <c r="G6" s="103"/>
      <c r="H6" s="103"/>
      <c r="I6" s="103"/>
      <c r="J6" s="103"/>
      <c r="K6" s="103"/>
      <c r="L6" s="103"/>
      <c r="M6" s="103"/>
      <c r="N6" s="106"/>
    </row>
    <row r="7" spans="1:14">
      <c r="A7" s="100"/>
      <c r="B7" s="103"/>
      <c r="C7" s="103"/>
      <c r="D7" s="103"/>
      <c r="E7" s="103"/>
      <c r="F7" s="103"/>
      <c r="G7" s="103"/>
      <c r="H7" s="103"/>
      <c r="I7" s="103"/>
      <c r="J7" s="103"/>
      <c r="K7" s="103"/>
      <c r="L7" s="103"/>
      <c r="M7" s="103"/>
      <c r="N7" s="106"/>
    </row>
    <row r="8" spans="1:14">
      <c r="A8" s="100"/>
      <c r="B8" s="103"/>
      <c r="C8" s="103"/>
      <c r="D8" s="103"/>
      <c r="E8" s="103"/>
      <c r="F8" s="103"/>
      <c r="G8" s="103"/>
      <c r="H8" s="103"/>
      <c r="I8" s="103"/>
      <c r="J8" s="108"/>
      <c r="K8" s="103"/>
      <c r="L8" s="103"/>
      <c r="M8" s="103"/>
      <c r="N8" s="106"/>
    </row>
    <row r="9" spans="1:14">
      <c r="A9" s="100" t="s">
        <v>528</v>
      </c>
      <c r="B9" s="101" t="s">
        <v>528</v>
      </c>
      <c r="C9" s="101" t="s">
        <v>528</v>
      </c>
      <c r="D9" s="101" t="s">
        <v>528</v>
      </c>
      <c r="E9" s="101" t="s">
        <v>528</v>
      </c>
      <c r="F9" s="101" t="s">
        <v>528</v>
      </c>
      <c r="G9" s="101" t="s">
        <v>528</v>
      </c>
      <c r="H9" s="101" t="s">
        <v>528</v>
      </c>
      <c r="I9" s="101" t="s">
        <v>528</v>
      </c>
      <c r="J9" s="101" t="s">
        <v>528</v>
      </c>
      <c r="K9" s="101" t="s">
        <v>528</v>
      </c>
      <c r="L9" s="101" t="s">
        <v>528</v>
      </c>
      <c r="M9" s="101" t="s">
        <v>528</v>
      </c>
      <c r="N9" s="102" t="s">
        <v>528</v>
      </c>
    </row>
    <row r="10" spans="1:14">
      <c r="A10" s="100" t="s">
        <v>528</v>
      </c>
      <c r="B10" s="101" t="s">
        <v>528</v>
      </c>
      <c r="C10" s="101" t="s">
        <v>528</v>
      </c>
      <c r="D10" s="101" t="s">
        <v>528</v>
      </c>
      <c r="E10" s="101" t="s">
        <v>528</v>
      </c>
      <c r="F10" s="101" t="s">
        <v>528</v>
      </c>
      <c r="G10" s="101" t="s">
        <v>528</v>
      </c>
      <c r="H10" s="101" t="s">
        <v>528</v>
      </c>
      <c r="I10" s="101" t="s">
        <v>528</v>
      </c>
      <c r="J10" s="101" t="s">
        <v>528</v>
      </c>
      <c r="K10" s="101" t="s">
        <v>528</v>
      </c>
      <c r="L10" s="101" t="s">
        <v>528</v>
      </c>
      <c r="M10" s="101" t="s">
        <v>528</v>
      </c>
      <c r="N10" s="102" t="s">
        <v>528</v>
      </c>
    </row>
    <row r="11" spans="1:14">
      <c r="A11" s="100" t="s">
        <v>528</v>
      </c>
      <c r="B11" s="101" t="s">
        <v>528</v>
      </c>
      <c r="C11" s="101" t="s">
        <v>528</v>
      </c>
      <c r="D11" s="101" t="s">
        <v>528</v>
      </c>
      <c r="E11" s="101" t="s">
        <v>528</v>
      </c>
      <c r="F11" s="101" t="s">
        <v>528</v>
      </c>
      <c r="G11" s="101" t="s">
        <v>528</v>
      </c>
      <c r="H11" s="101" t="s">
        <v>528</v>
      </c>
      <c r="I11" s="101" t="s">
        <v>528</v>
      </c>
      <c r="J11" s="101" t="s">
        <v>528</v>
      </c>
      <c r="K11" s="101" t="s">
        <v>528</v>
      </c>
      <c r="L11" s="101" t="s">
        <v>528</v>
      </c>
      <c r="M11" s="101" t="s">
        <v>528</v>
      </c>
      <c r="N11" s="102" t="s">
        <v>528</v>
      </c>
    </row>
    <row r="12" spans="1:14">
      <c r="A12" s="100" t="s">
        <v>528</v>
      </c>
      <c r="B12" s="101" t="s">
        <v>528</v>
      </c>
      <c r="C12" s="101" t="s">
        <v>528</v>
      </c>
      <c r="D12" s="101" t="s">
        <v>528</v>
      </c>
      <c r="E12" s="101" t="s">
        <v>528</v>
      </c>
      <c r="F12" s="101" t="s">
        <v>528</v>
      </c>
      <c r="G12" s="101" t="s">
        <v>528</v>
      </c>
      <c r="H12" s="101" t="s">
        <v>528</v>
      </c>
      <c r="I12" s="101" t="s">
        <v>528</v>
      </c>
      <c r="J12" s="101" t="s">
        <v>528</v>
      </c>
      <c r="K12" s="101" t="s">
        <v>528</v>
      </c>
      <c r="L12" s="101" t="s">
        <v>528</v>
      </c>
      <c r="M12" s="101" t="s">
        <v>528</v>
      </c>
      <c r="N12" s="102" t="s">
        <v>528</v>
      </c>
    </row>
    <row r="13" spans="1:14">
      <c r="A13" s="100" t="s">
        <v>528</v>
      </c>
      <c r="B13" s="101" t="s">
        <v>528</v>
      </c>
      <c r="C13" s="101" t="s">
        <v>528</v>
      </c>
      <c r="D13" s="101" t="s">
        <v>528</v>
      </c>
      <c r="E13" s="101" t="s">
        <v>528</v>
      </c>
      <c r="F13" s="101" t="s">
        <v>528</v>
      </c>
      <c r="G13" s="101" t="s">
        <v>528</v>
      </c>
      <c r="H13" s="101" t="s">
        <v>528</v>
      </c>
      <c r="I13" s="101" t="s">
        <v>528</v>
      </c>
      <c r="J13" s="101" t="s">
        <v>528</v>
      </c>
      <c r="K13" s="101" t="s">
        <v>528</v>
      </c>
      <c r="L13" s="101" t="s">
        <v>528</v>
      </c>
      <c r="M13" s="101" t="s">
        <v>528</v>
      </c>
      <c r="N13" s="102" t="s">
        <v>528</v>
      </c>
    </row>
    <row r="14" spans="1:14">
      <c r="A14" s="100" t="s">
        <v>528</v>
      </c>
      <c r="B14" s="101" t="s">
        <v>528</v>
      </c>
      <c r="C14" s="101" t="s">
        <v>528</v>
      </c>
      <c r="D14" s="101" t="s">
        <v>528</v>
      </c>
      <c r="E14" s="101" t="s">
        <v>528</v>
      </c>
      <c r="F14" s="101" t="s">
        <v>528</v>
      </c>
      <c r="G14" s="101" t="s">
        <v>528</v>
      </c>
      <c r="H14" s="101" t="s">
        <v>528</v>
      </c>
      <c r="I14" s="101" t="s">
        <v>528</v>
      </c>
      <c r="J14" s="101" t="s">
        <v>528</v>
      </c>
      <c r="K14" s="101" t="s">
        <v>528</v>
      </c>
      <c r="L14" s="101" t="s">
        <v>528</v>
      </c>
      <c r="M14" s="101" t="s">
        <v>528</v>
      </c>
      <c r="N14" s="102" t="s">
        <v>528</v>
      </c>
    </row>
    <row r="15" spans="1:14">
      <c r="A15" s="100" t="s">
        <v>528</v>
      </c>
      <c r="B15" s="101" t="s">
        <v>528</v>
      </c>
      <c r="C15" s="101" t="s">
        <v>528</v>
      </c>
      <c r="D15" s="101" t="s">
        <v>528</v>
      </c>
      <c r="E15" s="101" t="s">
        <v>528</v>
      </c>
      <c r="F15" s="101" t="s">
        <v>528</v>
      </c>
      <c r="G15" s="101" t="s">
        <v>528</v>
      </c>
      <c r="H15" s="101" t="s">
        <v>528</v>
      </c>
      <c r="I15" s="101" t="s">
        <v>528</v>
      </c>
      <c r="J15" s="101" t="s">
        <v>528</v>
      </c>
      <c r="K15" s="101" t="s">
        <v>528</v>
      </c>
      <c r="L15" s="101" t="s">
        <v>528</v>
      </c>
      <c r="M15" s="101" t="s">
        <v>528</v>
      </c>
      <c r="N15" s="102" t="s">
        <v>528</v>
      </c>
    </row>
    <row r="16" spans="1:14">
      <c r="A16" s="100" t="s">
        <v>528</v>
      </c>
      <c r="B16" s="101" t="s">
        <v>528</v>
      </c>
      <c r="C16" s="101" t="s">
        <v>528</v>
      </c>
      <c r="D16" s="101" t="s">
        <v>528</v>
      </c>
      <c r="E16" s="101" t="s">
        <v>528</v>
      </c>
      <c r="F16" s="101" t="s">
        <v>528</v>
      </c>
      <c r="G16" s="101" t="s">
        <v>528</v>
      </c>
      <c r="H16" s="101" t="s">
        <v>528</v>
      </c>
      <c r="I16" s="101" t="s">
        <v>528</v>
      </c>
      <c r="J16" s="101" t="s">
        <v>528</v>
      </c>
      <c r="K16" s="101" t="s">
        <v>528</v>
      </c>
      <c r="L16" s="101" t="s">
        <v>528</v>
      </c>
      <c r="M16" s="101" t="s">
        <v>528</v>
      </c>
      <c r="N16" s="102" t="s">
        <v>528</v>
      </c>
    </row>
    <row r="17" spans="1:14">
      <c r="A17" s="100" t="s">
        <v>528</v>
      </c>
      <c r="B17" s="101" t="s">
        <v>528</v>
      </c>
      <c r="C17" s="101" t="s">
        <v>528</v>
      </c>
      <c r="D17" s="101" t="s">
        <v>528</v>
      </c>
      <c r="E17" s="101" t="s">
        <v>528</v>
      </c>
      <c r="F17" s="101" t="s">
        <v>528</v>
      </c>
      <c r="G17" s="101" t="s">
        <v>528</v>
      </c>
      <c r="H17" s="101" t="s">
        <v>528</v>
      </c>
      <c r="I17" s="101" t="s">
        <v>528</v>
      </c>
      <c r="J17" s="101" t="s">
        <v>528</v>
      </c>
      <c r="K17" s="101" t="s">
        <v>528</v>
      </c>
      <c r="L17" s="101" t="s">
        <v>528</v>
      </c>
      <c r="M17" s="101" t="s">
        <v>528</v>
      </c>
      <c r="N17" s="102" t="s">
        <v>528</v>
      </c>
    </row>
    <row r="18" spans="1:14">
      <c r="A18" s="100" t="s">
        <v>528</v>
      </c>
      <c r="B18" s="101" t="s">
        <v>528</v>
      </c>
      <c r="C18" s="101" t="s">
        <v>528</v>
      </c>
      <c r="D18" s="101" t="s">
        <v>528</v>
      </c>
      <c r="E18" s="101" t="s">
        <v>528</v>
      </c>
      <c r="F18" s="101" t="s">
        <v>528</v>
      </c>
      <c r="G18" s="101" t="s">
        <v>528</v>
      </c>
      <c r="H18" s="101" t="s">
        <v>528</v>
      </c>
      <c r="I18" s="101" t="s">
        <v>528</v>
      </c>
      <c r="J18" s="101" t="s">
        <v>528</v>
      </c>
      <c r="K18" s="101" t="s">
        <v>528</v>
      </c>
      <c r="L18" s="101" t="s">
        <v>528</v>
      </c>
      <c r="M18" s="101" t="s">
        <v>528</v>
      </c>
      <c r="N18" s="102" t="s">
        <v>528</v>
      </c>
    </row>
    <row r="19" spans="1:14">
      <c r="A19" s="100" t="s">
        <v>528</v>
      </c>
      <c r="B19" s="101" t="s">
        <v>528</v>
      </c>
      <c r="C19" s="101" t="s">
        <v>528</v>
      </c>
      <c r="D19" s="101" t="s">
        <v>528</v>
      </c>
      <c r="E19" s="101" t="s">
        <v>528</v>
      </c>
      <c r="F19" s="101" t="s">
        <v>528</v>
      </c>
      <c r="G19" s="101" t="s">
        <v>528</v>
      </c>
      <c r="H19" s="101" t="s">
        <v>528</v>
      </c>
      <c r="I19" s="101" t="s">
        <v>528</v>
      </c>
      <c r="J19" s="101" t="s">
        <v>528</v>
      </c>
      <c r="K19" s="101" t="s">
        <v>528</v>
      </c>
      <c r="L19" s="101" t="s">
        <v>528</v>
      </c>
      <c r="M19" s="101" t="s">
        <v>528</v>
      </c>
      <c r="N19" s="102" t="s">
        <v>528</v>
      </c>
    </row>
    <row r="20" spans="1:14">
      <c r="A20" s="100" t="s">
        <v>528</v>
      </c>
      <c r="B20" s="101" t="s">
        <v>528</v>
      </c>
      <c r="C20" s="101" t="s">
        <v>528</v>
      </c>
      <c r="D20" s="101" t="s">
        <v>528</v>
      </c>
      <c r="E20" s="101" t="s">
        <v>528</v>
      </c>
      <c r="F20" s="101" t="s">
        <v>528</v>
      </c>
      <c r="G20" s="101" t="s">
        <v>528</v>
      </c>
      <c r="H20" s="101" t="s">
        <v>528</v>
      </c>
      <c r="I20" s="101" t="s">
        <v>528</v>
      </c>
      <c r="J20" s="101" t="s">
        <v>528</v>
      </c>
      <c r="K20" s="101" t="s">
        <v>528</v>
      </c>
      <c r="L20" s="101" t="s">
        <v>528</v>
      </c>
      <c r="M20" s="101" t="s">
        <v>528</v>
      </c>
      <c r="N20" s="102" t="s">
        <v>528</v>
      </c>
    </row>
    <row r="21" spans="1:14">
      <c r="A21" s="100" t="s">
        <v>528</v>
      </c>
      <c r="B21" s="101" t="s">
        <v>528</v>
      </c>
      <c r="C21" s="101" t="s">
        <v>528</v>
      </c>
      <c r="D21" s="101" t="s">
        <v>528</v>
      </c>
      <c r="E21" s="101" t="s">
        <v>528</v>
      </c>
      <c r="F21" s="101" t="s">
        <v>528</v>
      </c>
      <c r="G21" s="101" t="s">
        <v>528</v>
      </c>
      <c r="H21" s="101" t="s">
        <v>528</v>
      </c>
      <c r="I21" s="101" t="s">
        <v>528</v>
      </c>
      <c r="J21" s="101" t="s">
        <v>528</v>
      </c>
      <c r="K21" s="101" t="s">
        <v>528</v>
      </c>
      <c r="L21" s="101" t="s">
        <v>528</v>
      </c>
      <c r="M21" s="101" t="s">
        <v>528</v>
      </c>
      <c r="N21" s="102" t="s">
        <v>528</v>
      </c>
    </row>
    <row r="22" spans="1:14">
      <c r="A22" s="100" t="s">
        <v>528</v>
      </c>
      <c r="B22" s="101" t="s">
        <v>528</v>
      </c>
      <c r="C22" s="101" t="s">
        <v>528</v>
      </c>
      <c r="D22" s="101" t="s">
        <v>528</v>
      </c>
      <c r="E22" s="101" t="s">
        <v>528</v>
      </c>
      <c r="F22" s="101" t="s">
        <v>528</v>
      </c>
      <c r="G22" s="101" t="s">
        <v>528</v>
      </c>
      <c r="H22" s="101" t="s">
        <v>528</v>
      </c>
      <c r="I22" s="101" t="s">
        <v>528</v>
      </c>
      <c r="J22" s="101" t="s">
        <v>528</v>
      </c>
      <c r="K22" s="101" t="s">
        <v>528</v>
      </c>
      <c r="L22" s="101" t="s">
        <v>528</v>
      </c>
      <c r="M22" s="101" t="s">
        <v>528</v>
      </c>
      <c r="N22" s="102" t="s">
        <v>528</v>
      </c>
    </row>
    <row r="23" spans="1:14">
      <c r="A23" s="109" t="s">
        <v>528</v>
      </c>
      <c r="B23" s="110" t="s">
        <v>528</v>
      </c>
      <c r="C23" s="110" t="s">
        <v>528</v>
      </c>
      <c r="D23" s="110" t="s">
        <v>528</v>
      </c>
      <c r="E23" s="110" t="s">
        <v>528</v>
      </c>
      <c r="F23" s="110" t="s">
        <v>528</v>
      </c>
      <c r="G23" s="110" t="s">
        <v>528</v>
      </c>
      <c r="H23" s="110" t="s">
        <v>528</v>
      </c>
      <c r="I23" s="110" t="s">
        <v>528</v>
      </c>
      <c r="J23" s="110" t="s">
        <v>528</v>
      </c>
      <c r="K23" s="110" t="s">
        <v>528</v>
      </c>
      <c r="L23" s="110" t="s">
        <v>528</v>
      </c>
      <c r="M23" s="110" t="s">
        <v>528</v>
      </c>
      <c r="N23" s="111" t="s">
        <v>528</v>
      </c>
    </row>
    <row r="24" spans="1:14">
      <c r="A24" s="112"/>
      <c r="B24" s="112"/>
      <c r="C24" s="113"/>
      <c r="D24" s="112"/>
      <c r="E24" s="113"/>
      <c r="F24" s="112"/>
      <c r="G24" s="114"/>
      <c r="H24" s="114"/>
      <c r="I24" s="114"/>
      <c r="J24" s="114"/>
      <c r="K24" s="112"/>
      <c r="L24" s="112"/>
      <c r="M24" s="112"/>
      <c r="N24" s="112"/>
    </row>
  </sheetData>
  <mergeCells count="2">
    <mergeCell ref="G24:H24"/>
    <mergeCell ref="I24:J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5"/>
  <sheetViews>
    <sheetView view="pageBreakPreview" zoomScale="80" zoomScaleNormal="80" zoomScaleSheetLayoutView="80" workbookViewId="0">
      <pane ySplit="1" topLeftCell="A56" activePane="bottomLeft" state="frozen"/>
      <selection pane="bottomLeft" sqref="A1:IV65536"/>
    </sheetView>
  </sheetViews>
  <sheetFormatPr defaultColWidth="9" defaultRowHeight="16.5"/>
  <cols>
    <col min="1" max="1" width="6.25" style="8" customWidth="1"/>
    <col min="2" max="2" width="14.75" style="8" customWidth="1"/>
    <col min="3" max="3" width="9.5" style="8" bestFit="1" customWidth="1"/>
    <col min="4" max="4" width="7.5" style="8" bestFit="1" customWidth="1"/>
    <col min="5" max="5" width="24" style="8" customWidth="1"/>
    <col min="6" max="6" width="54" style="8" customWidth="1"/>
    <col min="7" max="7" width="10.125" style="8" bestFit="1" customWidth="1"/>
    <col min="8" max="8" width="10.5" style="8" bestFit="1" customWidth="1"/>
    <col min="9" max="9" width="13.625" style="8" bestFit="1" customWidth="1"/>
    <col min="10" max="10" width="11.625" style="8" customWidth="1"/>
    <col min="11" max="11" width="10.5" style="8" customWidth="1"/>
    <col min="12" max="16384" width="9" style="6"/>
  </cols>
  <sheetData>
    <row r="1" spans="1:11" ht="36.75" customHeight="1">
      <c r="A1" s="1" t="s">
        <v>0</v>
      </c>
      <c r="B1" s="94" t="s">
        <v>593</v>
      </c>
      <c r="C1" s="95"/>
      <c r="D1" s="1" t="s">
        <v>2</v>
      </c>
      <c r="E1" s="1" t="s">
        <v>3</v>
      </c>
      <c r="F1" s="1" t="s">
        <v>4</v>
      </c>
      <c r="G1" s="1" t="s">
        <v>5</v>
      </c>
      <c r="H1" s="1" t="s">
        <v>6</v>
      </c>
      <c r="I1" s="1" t="s">
        <v>7</v>
      </c>
      <c r="J1" s="1" t="s">
        <v>594</v>
      </c>
      <c r="K1" s="1" t="s">
        <v>9</v>
      </c>
    </row>
    <row r="2" spans="1:11" ht="35.1" customHeight="1">
      <c r="A2" s="91" t="s">
        <v>10</v>
      </c>
      <c r="B2" s="91" t="s">
        <v>595</v>
      </c>
      <c r="C2" s="4" t="s">
        <v>596</v>
      </c>
      <c r="D2" s="3" t="s">
        <v>597</v>
      </c>
      <c r="E2" s="3" t="s">
        <v>598</v>
      </c>
      <c r="F2" s="3" t="s">
        <v>599</v>
      </c>
      <c r="G2" s="2"/>
      <c r="H2" s="2"/>
      <c r="I2" s="2"/>
      <c r="J2" s="2"/>
      <c r="K2" s="2"/>
    </row>
    <row r="3" spans="1:11" ht="35.1" customHeight="1">
      <c r="A3" s="92"/>
      <c r="B3" s="92"/>
      <c r="C3" s="4" t="s">
        <v>596</v>
      </c>
      <c r="D3" s="3" t="s">
        <v>600</v>
      </c>
      <c r="E3" s="3" t="s">
        <v>601</v>
      </c>
      <c r="F3" s="3" t="s">
        <v>602</v>
      </c>
      <c r="G3" s="2"/>
      <c r="H3" s="2"/>
      <c r="I3" s="2"/>
      <c r="J3" s="2"/>
      <c r="K3" s="2"/>
    </row>
    <row r="4" spans="1:11" ht="35.1" customHeight="1">
      <c r="A4" s="92"/>
      <c r="B4" s="92"/>
      <c r="C4" s="4" t="s">
        <v>596</v>
      </c>
      <c r="D4" s="3" t="s">
        <v>603</v>
      </c>
      <c r="E4" s="3" t="s">
        <v>604</v>
      </c>
      <c r="F4" s="3" t="s">
        <v>605</v>
      </c>
      <c r="G4" s="2"/>
      <c r="H4" s="2"/>
      <c r="I4" s="2"/>
      <c r="J4" s="2"/>
      <c r="K4" s="2"/>
    </row>
    <row r="5" spans="1:11" ht="35.1" customHeight="1">
      <c r="A5" s="92"/>
      <c r="B5" s="92"/>
      <c r="C5" s="4" t="s">
        <v>596</v>
      </c>
      <c r="D5" s="3" t="s">
        <v>606</v>
      </c>
      <c r="E5" s="3" t="s">
        <v>607</v>
      </c>
      <c r="F5" s="3" t="s">
        <v>608</v>
      </c>
      <c r="G5" s="2"/>
      <c r="H5" s="2"/>
      <c r="I5" s="2"/>
      <c r="J5" s="2"/>
      <c r="K5" s="2"/>
    </row>
    <row r="6" spans="1:11" ht="35.1" customHeight="1">
      <c r="A6" s="92"/>
      <c r="B6" s="92"/>
      <c r="C6" s="4" t="s">
        <v>596</v>
      </c>
      <c r="D6" s="3" t="s">
        <v>609</v>
      </c>
      <c r="E6" s="3" t="s">
        <v>610</v>
      </c>
      <c r="F6" s="3" t="s">
        <v>611</v>
      </c>
      <c r="G6" s="2"/>
      <c r="H6" s="2"/>
      <c r="I6" s="2"/>
      <c r="J6" s="2"/>
      <c r="K6" s="2"/>
    </row>
    <row r="7" spans="1:11" ht="35.1" customHeight="1">
      <c r="A7" s="92"/>
      <c r="B7" s="92"/>
      <c r="C7" s="4" t="s">
        <v>596</v>
      </c>
      <c r="D7" s="3" t="s">
        <v>612</v>
      </c>
      <c r="E7" s="3" t="s">
        <v>613</v>
      </c>
      <c r="F7" s="3" t="s">
        <v>614</v>
      </c>
      <c r="G7" s="2"/>
      <c r="H7" s="2"/>
      <c r="I7" s="2"/>
      <c r="J7" s="2"/>
      <c r="K7" s="2"/>
    </row>
    <row r="8" spans="1:11" ht="35.1" customHeight="1">
      <c r="A8" s="92"/>
      <c r="B8" s="92"/>
      <c r="C8" s="4" t="s">
        <v>596</v>
      </c>
      <c r="D8" s="3"/>
      <c r="E8" s="3"/>
      <c r="F8" s="3"/>
      <c r="G8" s="2"/>
      <c r="H8" s="2"/>
      <c r="I8" s="2"/>
      <c r="J8" s="2"/>
      <c r="K8" s="2"/>
    </row>
    <row r="9" spans="1:11" ht="35.1" customHeight="1">
      <c r="A9" s="92"/>
      <c r="B9" s="92"/>
      <c r="C9" s="4" t="s">
        <v>596</v>
      </c>
      <c r="D9" s="3"/>
      <c r="E9" s="3"/>
      <c r="F9" s="3"/>
      <c r="G9" s="2"/>
      <c r="H9" s="2"/>
      <c r="I9" s="2"/>
      <c r="J9" s="2"/>
      <c r="K9" s="2"/>
    </row>
    <row r="10" spans="1:11" ht="35.1" customHeight="1">
      <c r="A10" s="92"/>
      <c r="B10" s="92"/>
      <c r="C10" s="4" t="s">
        <v>596</v>
      </c>
      <c r="D10" s="3"/>
      <c r="E10" s="3"/>
      <c r="F10" s="3"/>
      <c r="G10" s="2"/>
      <c r="H10" s="2"/>
      <c r="I10" s="2"/>
      <c r="J10" s="2"/>
      <c r="K10" s="2"/>
    </row>
    <row r="11" spans="1:11" ht="35.1" customHeight="1">
      <c r="A11" s="92"/>
      <c r="B11" s="92"/>
      <c r="C11" s="4" t="s">
        <v>615</v>
      </c>
      <c r="D11" s="3" t="s">
        <v>616</v>
      </c>
      <c r="E11" s="3" t="s">
        <v>617</v>
      </c>
      <c r="F11" s="3" t="s">
        <v>618</v>
      </c>
      <c r="G11" s="2"/>
      <c r="H11" s="2"/>
      <c r="I11" s="2"/>
      <c r="J11" s="2"/>
      <c r="K11" s="2"/>
    </row>
    <row r="12" spans="1:11" ht="35.1" customHeight="1">
      <c r="A12" s="92"/>
      <c r="B12" s="92"/>
      <c r="C12" s="4" t="s">
        <v>615</v>
      </c>
      <c r="D12" s="3"/>
      <c r="E12" s="3" t="s">
        <v>619</v>
      </c>
      <c r="F12" s="3" t="s">
        <v>620</v>
      </c>
      <c r="G12" s="2"/>
      <c r="H12" s="2"/>
      <c r="I12" s="2"/>
      <c r="J12" s="2"/>
      <c r="K12" s="2"/>
    </row>
    <row r="13" spans="1:11" ht="35.1" customHeight="1">
      <c r="A13" s="92"/>
      <c r="B13" s="92"/>
      <c r="C13" s="4" t="s">
        <v>615</v>
      </c>
      <c r="D13" s="3"/>
      <c r="E13" s="3" t="s">
        <v>621</v>
      </c>
      <c r="F13" s="3" t="s">
        <v>622</v>
      </c>
      <c r="G13" s="2"/>
      <c r="H13" s="2"/>
      <c r="I13" s="2"/>
      <c r="J13" s="2"/>
      <c r="K13" s="2"/>
    </row>
    <row r="14" spans="1:11" ht="35.1" customHeight="1">
      <c r="A14" s="92"/>
      <c r="B14" s="92"/>
      <c r="C14" s="4" t="s">
        <v>615</v>
      </c>
      <c r="D14" s="3"/>
      <c r="E14" s="3" t="s">
        <v>623</v>
      </c>
      <c r="F14" s="3" t="s">
        <v>622</v>
      </c>
      <c r="G14" s="2"/>
      <c r="H14" s="2"/>
      <c r="I14" s="2"/>
      <c r="J14" s="2"/>
      <c r="K14" s="2"/>
    </row>
    <row r="15" spans="1:11" ht="35.1" customHeight="1">
      <c r="A15" s="92"/>
      <c r="B15" s="92"/>
      <c r="C15" s="4" t="s">
        <v>615</v>
      </c>
      <c r="D15" s="3"/>
      <c r="E15" s="3" t="s">
        <v>624</v>
      </c>
      <c r="F15" s="3" t="s">
        <v>622</v>
      </c>
      <c r="G15" s="2"/>
      <c r="H15" s="2"/>
      <c r="I15" s="2"/>
      <c r="J15" s="2"/>
      <c r="K15" s="2"/>
    </row>
    <row r="16" spans="1:11" ht="35.1" customHeight="1">
      <c r="A16" s="92"/>
      <c r="B16" s="92"/>
      <c r="C16" s="4" t="s">
        <v>615</v>
      </c>
      <c r="D16" s="3"/>
      <c r="E16" s="3" t="s">
        <v>625</v>
      </c>
      <c r="F16" s="3" t="s">
        <v>626</v>
      </c>
      <c r="G16" s="2"/>
      <c r="H16" s="2"/>
      <c r="I16" s="2"/>
      <c r="J16" s="2"/>
      <c r="K16" s="2"/>
    </row>
    <row r="17" spans="1:11" ht="35.1" customHeight="1">
      <c r="A17" s="92"/>
      <c r="B17" s="92"/>
      <c r="C17" s="4" t="s">
        <v>615</v>
      </c>
      <c r="D17" s="3"/>
      <c r="E17" s="3" t="s">
        <v>627</v>
      </c>
      <c r="F17" s="3" t="s">
        <v>628</v>
      </c>
      <c r="G17" s="2"/>
      <c r="H17" s="2"/>
      <c r="I17" s="2"/>
      <c r="J17" s="2"/>
      <c r="K17" s="2"/>
    </row>
    <row r="18" spans="1:11" ht="35.1" customHeight="1">
      <c r="A18" s="92"/>
      <c r="B18" s="92"/>
      <c r="C18" s="4" t="s">
        <v>615</v>
      </c>
      <c r="D18" s="3"/>
      <c r="E18" s="3" t="s">
        <v>629</v>
      </c>
      <c r="F18" s="3" t="s">
        <v>630</v>
      </c>
      <c r="G18" s="2"/>
      <c r="H18" s="2"/>
      <c r="I18" s="2"/>
      <c r="J18" s="2"/>
      <c r="K18" s="2"/>
    </row>
    <row r="19" spans="1:11" ht="35.1" customHeight="1">
      <c r="A19" s="92"/>
      <c r="B19" s="92"/>
      <c r="C19" s="4" t="s">
        <v>615</v>
      </c>
      <c r="D19" s="3"/>
      <c r="E19" s="3" t="s">
        <v>631</v>
      </c>
      <c r="F19" s="3" t="s">
        <v>632</v>
      </c>
      <c r="G19" s="2"/>
      <c r="H19" s="2"/>
      <c r="I19" s="2"/>
      <c r="J19" s="2"/>
      <c r="K19" s="2"/>
    </row>
    <row r="20" spans="1:11" ht="35.1" customHeight="1">
      <c r="A20" s="9"/>
      <c r="B20" s="9"/>
      <c r="C20" s="4" t="s">
        <v>615</v>
      </c>
      <c r="D20" s="3"/>
      <c r="E20" s="3" t="s">
        <v>633</v>
      </c>
      <c r="F20" s="3" t="s">
        <v>634</v>
      </c>
      <c r="G20" s="2"/>
      <c r="H20" s="2"/>
      <c r="I20" s="2"/>
      <c r="J20" s="2"/>
      <c r="K20" s="2"/>
    </row>
    <row r="21" spans="1:11" ht="34.5" customHeight="1">
      <c r="A21" s="9"/>
      <c r="B21" s="9"/>
      <c r="C21" s="4" t="s">
        <v>615</v>
      </c>
      <c r="D21" s="3"/>
      <c r="E21" s="3" t="s">
        <v>635</v>
      </c>
      <c r="F21" s="3" t="s">
        <v>636</v>
      </c>
      <c r="G21" s="2"/>
      <c r="H21" s="2"/>
      <c r="I21" s="2"/>
      <c r="J21" s="2"/>
      <c r="K21" s="2"/>
    </row>
    <row r="22" spans="1:11" ht="35.1" customHeight="1">
      <c r="A22" s="9"/>
      <c r="B22" s="9"/>
      <c r="C22" s="4" t="s">
        <v>615</v>
      </c>
      <c r="D22" s="3"/>
      <c r="E22" s="3" t="s">
        <v>637</v>
      </c>
      <c r="F22" s="3" t="s">
        <v>638</v>
      </c>
      <c r="G22" s="2"/>
      <c r="H22" s="2"/>
      <c r="I22" s="2"/>
      <c r="J22" s="2"/>
      <c r="K22" s="2"/>
    </row>
    <row r="23" spans="1:11" ht="35.1" customHeight="1">
      <c r="A23" s="9"/>
      <c r="B23" s="9"/>
      <c r="C23" s="4" t="s">
        <v>615</v>
      </c>
      <c r="D23" s="3"/>
      <c r="E23" s="3" t="s">
        <v>639</v>
      </c>
      <c r="F23" s="3" t="s">
        <v>638</v>
      </c>
      <c r="G23" s="2"/>
      <c r="H23" s="2"/>
      <c r="I23" s="2"/>
      <c r="J23" s="2"/>
      <c r="K23" s="2"/>
    </row>
    <row r="24" spans="1:11" ht="35.1" customHeight="1">
      <c r="A24" s="9"/>
      <c r="B24" s="9"/>
      <c r="C24" s="4" t="s">
        <v>615</v>
      </c>
      <c r="D24" s="3"/>
      <c r="E24" s="3"/>
      <c r="F24" s="3"/>
      <c r="G24" s="2"/>
      <c r="H24" s="2"/>
      <c r="I24" s="2"/>
      <c r="J24" s="2"/>
      <c r="K24" s="2"/>
    </row>
    <row r="25" spans="1:11" ht="35.1" customHeight="1">
      <c r="A25" s="9"/>
      <c r="B25" s="9"/>
      <c r="C25" s="4" t="s">
        <v>615</v>
      </c>
      <c r="D25" s="3"/>
      <c r="E25" s="3"/>
      <c r="F25" s="3"/>
      <c r="G25" s="2"/>
      <c r="H25" s="2"/>
      <c r="I25" s="2"/>
      <c r="J25" s="2"/>
      <c r="K25" s="2"/>
    </row>
    <row r="26" spans="1:11" ht="35.1" customHeight="1">
      <c r="A26" s="9"/>
      <c r="B26" s="9"/>
      <c r="C26" s="4" t="s">
        <v>615</v>
      </c>
      <c r="D26" s="3"/>
      <c r="E26" s="3"/>
      <c r="F26" s="3"/>
      <c r="G26" s="2"/>
      <c r="H26" s="2"/>
      <c r="I26" s="2"/>
      <c r="J26" s="2"/>
      <c r="K26" s="2"/>
    </row>
    <row r="27" spans="1:11" ht="35.1" customHeight="1">
      <c r="A27" s="9"/>
      <c r="B27" s="9"/>
      <c r="C27" s="4" t="s">
        <v>615</v>
      </c>
      <c r="D27" s="3"/>
      <c r="E27" s="3"/>
      <c r="F27" s="3"/>
      <c r="G27" s="2"/>
      <c r="H27" s="2"/>
      <c r="I27" s="2"/>
      <c r="J27" s="2"/>
      <c r="K27" s="2"/>
    </row>
    <row r="28" spans="1:11" ht="35.1" customHeight="1">
      <c r="A28" s="9"/>
      <c r="B28" s="9"/>
      <c r="C28" s="4" t="s">
        <v>615</v>
      </c>
      <c r="D28" s="3"/>
      <c r="E28" s="3"/>
      <c r="F28" s="3"/>
      <c r="G28" s="2"/>
      <c r="H28" s="2"/>
      <c r="I28" s="2"/>
      <c r="J28" s="2"/>
      <c r="K28" s="2"/>
    </row>
    <row r="29" spans="1:11" ht="35.1" customHeight="1">
      <c r="A29" s="9"/>
      <c r="B29" s="9"/>
      <c r="C29" s="4" t="s">
        <v>615</v>
      </c>
      <c r="D29" s="3"/>
      <c r="E29" s="3"/>
      <c r="F29" s="3"/>
      <c r="G29" s="2"/>
      <c r="H29" s="2"/>
      <c r="I29" s="2"/>
      <c r="J29" s="2"/>
      <c r="K29" s="2"/>
    </row>
    <row r="30" spans="1:11" ht="35.1" customHeight="1">
      <c r="A30" s="9"/>
      <c r="B30" s="9"/>
      <c r="C30" s="4" t="s">
        <v>615</v>
      </c>
      <c r="D30" s="3"/>
      <c r="E30" s="3"/>
      <c r="F30" s="3"/>
      <c r="G30" s="2"/>
      <c r="H30" s="2"/>
      <c r="I30" s="2"/>
      <c r="J30" s="2"/>
      <c r="K30" s="2"/>
    </row>
    <row r="31" spans="1:11" ht="35.1" customHeight="1">
      <c r="A31" s="9"/>
      <c r="B31" s="9"/>
      <c r="C31" s="4" t="s">
        <v>615</v>
      </c>
      <c r="D31" s="3"/>
      <c r="E31" s="3"/>
      <c r="F31" s="3"/>
      <c r="G31" s="2"/>
      <c r="H31" s="2"/>
      <c r="I31" s="2"/>
      <c r="J31" s="2"/>
      <c r="K31" s="2"/>
    </row>
    <row r="32" spans="1:11" ht="35.1" customHeight="1">
      <c r="A32" s="91" t="s">
        <v>640</v>
      </c>
      <c r="B32" s="91" t="s">
        <v>641</v>
      </c>
      <c r="C32" s="4" t="s">
        <v>642</v>
      </c>
      <c r="D32" s="3"/>
      <c r="E32" s="3" t="s">
        <v>643</v>
      </c>
      <c r="F32" s="3" t="s">
        <v>644</v>
      </c>
      <c r="G32" s="2"/>
      <c r="H32" s="2"/>
      <c r="I32" s="2"/>
      <c r="J32" s="2"/>
      <c r="K32" s="2"/>
    </row>
    <row r="33" spans="1:11" ht="35.1" customHeight="1">
      <c r="A33" s="92"/>
      <c r="B33" s="92"/>
      <c r="C33" s="4" t="s">
        <v>642</v>
      </c>
      <c r="D33" s="3"/>
      <c r="E33" s="3"/>
      <c r="F33" s="3"/>
      <c r="G33" s="2"/>
      <c r="H33" s="2"/>
      <c r="I33" s="2"/>
      <c r="J33" s="2"/>
      <c r="K33" s="2"/>
    </row>
    <row r="34" spans="1:11" ht="35.1" customHeight="1">
      <c r="A34" s="92"/>
      <c r="B34" s="92"/>
      <c r="C34" s="4" t="s">
        <v>642</v>
      </c>
      <c r="D34" s="3"/>
      <c r="E34" s="3"/>
      <c r="F34" s="3"/>
      <c r="G34" s="2"/>
      <c r="H34" s="2"/>
      <c r="I34" s="2"/>
      <c r="J34" s="2"/>
      <c r="K34" s="2"/>
    </row>
    <row r="35" spans="1:11" ht="35.1" customHeight="1">
      <c r="A35" s="92"/>
      <c r="B35" s="92"/>
      <c r="C35" s="4" t="s">
        <v>642</v>
      </c>
      <c r="D35" s="3"/>
      <c r="E35" s="3"/>
      <c r="F35" s="3"/>
      <c r="G35" s="2"/>
      <c r="H35" s="2"/>
      <c r="I35" s="2"/>
      <c r="J35" s="2"/>
      <c r="K35" s="2"/>
    </row>
    <row r="36" spans="1:11" ht="35.1" customHeight="1">
      <c r="A36" s="92"/>
      <c r="B36" s="92"/>
      <c r="C36" s="4" t="s">
        <v>642</v>
      </c>
      <c r="D36" s="3"/>
      <c r="E36" s="3"/>
      <c r="F36" s="3"/>
      <c r="G36" s="2"/>
      <c r="H36" s="2"/>
      <c r="I36" s="2"/>
      <c r="J36" s="2"/>
      <c r="K36" s="2"/>
    </row>
    <row r="37" spans="1:11" ht="35.1" customHeight="1">
      <c r="A37" s="93"/>
      <c r="B37" s="93"/>
      <c r="C37" s="4" t="s">
        <v>642</v>
      </c>
      <c r="D37" s="3"/>
      <c r="E37" s="3"/>
      <c r="F37" s="4"/>
      <c r="G37" s="5"/>
      <c r="H37" s="5"/>
      <c r="I37" s="5"/>
      <c r="J37" s="5"/>
      <c r="K37" s="5"/>
    </row>
    <row r="38" spans="1:11" ht="35.1" customHeight="1">
      <c r="A38" s="91" t="s">
        <v>224</v>
      </c>
      <c r="B38" s="91" t="s">
        <v>645</v>
      </c>
      <c r="C38" s="4" t="s">
        <v>646</v>
      </c>
      <c r="D38" s="3" t="s">
        <v>647</v>
      </c>
      <c r="E38" s="3" t="s">
        <v>648</v>
      </c>
      <c r="F38" s="3" t="s">
        <v>649</v>
      </c>
      <c r="G38" s="2"/>
      <c r="H38" s="3"/>
      <c r="I38" s="2"/>
      <c r="J38" s="2"/>
      <c r="K38" s="2"/>
    </row>
    <row r="39" spans="1:11" ht="35.1" customHeight="1">
      <c r="A39" s="92"/>
      <c r="B39" s="92"/>
      <c r="C39" s="4" t="s">
        <v>646</v>
      </c>
      <c r="D39" s="3" t="s">
        <v>650</v>
      </c>
      <c r="E39" s="3" t="s">
        <v>651</v>
      </c>
      <c r="F39" s="3" t="s">
        <v>652</v>
      </c>
      <c r="G39" s="2"/>
      <c r="H39" s="3"/>
      <c r="I39" s="2"/>
      <c r="J39" s="2"/>
      <c r="K39" s="2"/>
    </row>
    <row r="40" spans="1:11" ht="35.1" customHeight="1">
      <c r="A40" s="92"/>
      <c r="B40" s="92"/>
      <c r="C40" s="4" t="s">
        <v>646</v>
      </c>
      <c r="D40" s="3" t="s">
        <v>653</v>
      </c>
      <c r="E40" s="3" t="s">
        <v>654</v>
      </c>
      <c r="F40" s="3" t="s">
        <v>655</v>
      </c>
      <c r="G40" s="2"/>
      <c r="H40" s="3"/>
      <c r="I40" s="2"/>
      <c r="J40" s="2"/>
      <c r="K40" s="2"/>
    </row>
    <row r="41" spans="1:11" ht="35.1" customHeight="1">
      <c r="A41" s="92"/>
      <c r="B41" s="92"/>
      <c r="C41" s="4" t="s">
        <v>646</v>
      </c>
      <c r="D41" s="3" t="s">
        <v>656</v>
      </c>
      <c r="E41" s="3" t="s">
        <v>657</v>
      </c>
      <c r="F41" s="3" t="s">
        <v>658</v>
      </c>
      <c r="G41" s="2"/>
      <c r="H41" s="3"/>
      <c r="I41" s="2"/>
      <c r="J41" s="2"/>
      <c r="K41" s="2"/>
    </row>
    <row r="42" spans="1:11" ht="35.1" customHeight="1">
      <c r="A42" s="92"/>
      <c r="B42" s="92"/>
      <c r="C42" s="4" t="s">
        <v>646</v>
      </c>
      <c r="D42" s="3" t="s">
        <v>659</v>
      </c>
      <c r="E42" s="3" t="s">
        <v>651</v>
      </c>
      <c r="F42" s="3" t="s">
        <v>660</v>
      </c>
      <c r="G42" s="2"/>
      <c r="H42" s="3"/>
      <c r="I42" s="2"/>
      <c r="J42" s="2"/>
      <c r="K42" s="2"/>
    </row>
    <row r="43" spans="1:11" ht="35.1" customHeight="1">
      <c r="A43" s="92"/>
      <c r="B43" s="92"/>
      <c r="C43" s="4" t="s">
        <v>646</v>
      </c>
      <c r="D43" s="3" t="s">
        <v>661</v>
      </c>
      <c r="E43" s="3" t="s">
        <v>180</v>
      </c>
      <c r="F43" s="3" t="s">
        <v>662</v>
      </c>
      <c r="G43" s="2"/>
      <c r="H43" s="3"/>
      <c r="I43" s="2"/>
      <c r="J43" s="2"/>
      <c r="K43" s="2"/>
    </row>
    <row r="44" spans="1:11" ht="35.1" customHeight="1">
      <c r="A44" s="92"/>
      <c r="B44" s="92"/>
      <c r="C44" s="4" t="s">
        <v>646</v>
      </c>
      <c r="D44" s="3" t="s">
        <v>663</v>
      </c>
      <c r="E44" s="3" t="s">
        <v>180</v>
      </c>
      <c r="F44" s="3" t="s">
        <v>664</v>
      </c>
      <c r="G44" s="2"/>
      <c r="H44" s="3"/>
      <c r="I44" s="2"/>
      <c r="J44" s="2"/>
      <c r="K44" s="2"/>
    </row>
    <row r="45" spans="1:11" ht="35.1" customHeight="1">
      <c r="A45" s="92"/>
      <c r="B45" s="92"/>
      <c r="C45" s="4" t="s">
        <v>646</v>
      </c>
      <c r="D45" s="3" t="s">
        <v>665</v>
      </c>
      <c r="E45" s="3" t="s">
        <v>180</v>
      </c>
      <c r="F45" s="3" t="s">
        <v>666</v>
      </c>
      <c r="G45" s="2"/>
      <c r="H45" s="3"/>
      <c r="I45" s="2"/>
      <c r="J45" s="2"/>
      <c r="K45" s="2"/>
    </row>
    <row r="46" spans="1:11" ht="35.1" customHeight="1">
      <c r="A46" s="92"/>
      <c r="B46" s="92"/>
      <c r="C46" s="4" t="s">
        <v>646</v>
      </c>
      <c r="D46" s="3" t="s">
        <v>667</v>
      </c>
      <c r="E46" s="3" t="s">
        <v>180</v>
      </c>
      <c r="F46" s="3" t="s">
        <v>668</v>
      </c>
      <c r="G46" s="2"/>
      <c r="H46" s="3"/>
      <c r="I46" s="2"/>
      <c r="J46" s="2"/>
      <c r="K46" s="2"/>
    </row>
    <row r="47" spans="1:11" ht="35.1" customHeight="1">
      <c r="A47" s="92"/>
      <c r="B47" s="92"/>
      <c r="C47" s="4" t="s">
        <v>646</v>
      </c>
      <c r="D47" s="3" t="s">
        <v>669</v>
      </c>
      <c r="E47" s="3" t="s">
        <v>180</v>
      </c>
      <c r="F47" s="3" t="s">
        <v>670</v>
      </c>
      <c r="G47" s="2"/>
      <c r="H47" s="3"/>
      <c r="I47" s="2"/>
      <c r="J47" s="2"/>
      <c r="K47" s="2"/>
    </row>
    <row r="48" spans="1:11" ht="35.1" customHeight="1">
      <c r="A48" s="92"/>
      <c r="B48" s="92"/>
      <c r="C48" s="4" t="s">
        <v>646</v>
      </c>
      <c r="D48" s="3" t="s">
        <v>187</v>
      </c>
      <c r="E48" s="3" t="s">
        <v>180</v>
      </c>
      <c r="F48" s="3" t="s">
        <v>671</v>
      </c>
      <c r="G48" s="2"/>
      <c r="H48" s="3"/>
      <c r="I48" s="2"/>
      <c r="J48" s="2"/>
      <c r="K48" s="2"/>
    </row>
    <row r="49" spans="1:11" ht="35.1" customHeight="1">
      <c r="A49" s="92"/>
      <c r="B49" s="92"/>
      <c r="C49" s="4" t="s">
        <v>646</v>
      </c>
      <c r="D49" s="3" t="s">
        <v>189</v>
      </c>
      <c r="E49" s="3" t="s">
        <v>180</v>
      </c>
      <c r="F49" s="3" t="s">
        <v>672</v>
      </c>
      <c r="G49" s="2"/>
      <c r="H49" s="3"/>
      <c r="I49" s="2"/>
      <c r="J49" s="2"/>
      <c r="K49" s="2"/>
    </row>
    <row r="50" spans="1:11" ht="35.1" customHeight="1">
      <c r="A50" s="92"/>
      <c r="B50" s="92"/>
      <c r="C50" s="4" t="s">
        <v>646</v>
      </c>
      <c r="D50" s="3" t="s">
        <v>192</v>
      </c>
      <c r="E50" s="3" t="s">
        <v>180</v>
      </c>
      <c r="F50" s="3" t="s">
        <v>673</v>
      </c>
      <c r="G50" s="2"/>
      <c r="H50" s="3"/>
      <c r="I50" s="2"/>
      <c r="J50" s="2"/>
      <c r="K50" s="2"/>
    </row>
    <row r="51" spans="1:11" ht="35.1" customHeight="1">
      <c r="A51" s="92"/>
      <c r="B51" s="92"/>
      <c r="C51" s="4" t="s">
        <v>646</v>
      </c>
      <c r="D51" s="3" t="s">
        <v>195</v>
      </c>
      <c r="E51" s="3" t="s">
        <v>180</v>
      </c>
      <c r="F51" s="3" t="s">
        <v>674</v>
      </c>
      <c r="G51" s="2"/>
      <c r="H51" s="3"/>
      <c r="I51" s="2"/>
      <c r="J51" s="2"/>
      <c r="K51" s="2"/>
    </row>
    <row r="52" spans="1:11" ht="35.1" customHeight="1">
      <c r="A52" s="92"/>
      <c r="B52" s="92"/>
      <c r="C52" s="4" t="s">
        <v>646</v>
      </c>
      <c r="D52" s="3" t="s">
        <v>198</v>
      </c>
      <c r="E52" s="3" t="s">
        <v>180</v>
      </c>
      <c r="F52" s="3" t="s">
        <v>675</v>
      </c>
      <c r="G52" s="2"/>
      <c r="H52" s="3"/>
      <c r="I52" s="2"/>
      <c r="J52" s="2"/>
      <c r="K52" s="2"/>
    </row>
    <row r="53" spans="1:11" ht="35.1" customHeight="1">
      <c r="A53" s="92"/>
      <c r="B53" s="92"/>
      <c r="C53" s="4" t="s">
        <v>646</v>
      </c>
      <c r="D53" s="3" t="s">
        <v>200</v>
      </c>
      <c r="E53" s="3" t="s">
        <v>180</v>
      </c>
      <c r="F53" s="3" t="s">
        <v>676</v>
      </c>
      <c r="G53" s="2"/>
      <c r="H53" s="3"/>
      <c r="I53" s="2"/>
      <c r="J53" s="2"/>
      <c r="K53" s="2"/>
    </row>
    <row r="54" spans="1:11" ht="35.1" customHeight="1">
      <c r="A54" s="92"/>
      <c r="B54" s="92"/>
      <c r="C54" s="4" t="s">
        <v>677</v>
      </c>
      <c r="D54" s="3" t="s">
        <v>226</v>
      </c>
      <c r="E54" s="3" t="s">
        <v>678</v>
      </c>
      <c r="F54" s="3" t="s">
        <v>679</v>
      </c>
      <c r="G54" s="2"/>
      <c r="H54" s="3"/>
      <c r="I54" s="2"/>
      <c r="J54" s="2"/>
      <c r="K54" s="2"/>
    </row>
    <row r="55" spans="1:11" ht="35.1" customHeight="1">
      <c r="A55" s="92"/>
      <c r="B55" s="92"/>
      <c r="C55" s="4" t="s">
        <v>677</v>
      </c>
      <c r="D55" s="3" t="s">
        <v>229</v>
      </c>
      <c r="E55" s="3" t="s">
        <v>680</v>
      </c>
      <c r="F55" s="3" t="s">
        <v>681</v>
      </c>
      <c r="G55" s="2"/>
      <c r="H55" s="3"/>
      <c r="I55" s="2"/>
      <c r="J55" s="2"/>
      <c r="K55" s="2"/>
    </row>
    <row r="56" spans="1:11" ht="35.1" customHeight="1">
      <c r="A56" s="92"/>
      <c r="B56" s="92"/>
      <c r="C56" s="4" t="s">
        <v>677</v>
      </c>
      <c r="D56" s="3" t="s">
        <v>232</v>
      </c>
      <c r="E56" s="3" t="s">
        <v>682</v>
      </c>
      <c r="F56" s="3" t="s">
        <v>683</v>
      </c>
      <c r="G56" s="2"/>
      <c r="H56" s="3"/>
      <c r="I56" s="2"/>
      <c r="J56" s="2"/>
      <c r="K56" s="2"/>
    </row>
    <row r="57" spans="1:11" ht="35.1" customHeight="1">
      <c r="A57" s="92"/>
      <c r="B57" s="92"/>
      <c r="C57" s="4" t="s">
        <v>677</v>
      </c>
      <c r="D57" s="3" t="s">
        <v>235</v>
      </c>
      <c r="E57" s="3" t="s">
        <v>684</v>
      </c>
      <c r="F57" s="3" t="s">
        <v>685</v>
      </c>
      <c r="G57" s="2"/>
      <c r="H57" s="3"/>
      <c r="I57" s="2"/>
      <c r="J57" s="2"/>
      <c r="K57" s="2"/>
    </row>
    <row r="58" spans="1:11" ht="35.1" customHeight="1">
      <c r="A58" s="92"/>
      <c r="B58" s="92"/>
      <c r="C58" s="4" t="s">
        <v>677</v>
      </c>
      <c r="D58" s="3" t="s">
        <v>238</v>
      </c>
      <c r="E58" s="3" t="s">
        <v>686</v>
      </c>
      <c r="F58" s="3" t="s">
        <v>685</v>
      </c>
      <c r="G58" s="2"/>
      <c r="H58" s="3"/>
      <c r="I58" s="2"/>
      <c r="J58" s="2"/>
      <c r="K58" s="2"/>
    </row>
    <row r="59" spans="1:11" ht="35.1" customHeight="1">
      <c r="A59" s="92"/>
      <c r="B59" s="92"/>
      <c r="C59" s="4" t="s">
        <v>677</v>
      </c>
      <c r="D59" s="3" t="s">
        <v>241</v>
      </c>
      <c r="E59" s="3" t="s">
        <v>687</v>
      </c>
      <c r="F59" s="3" t="s">
        <v>685</v>
      </c>
      <c r="G59" s="2"/>
      <c r="H59" s="3"/>
      <c r="I59" s="2"/>
      <c r="J59" s="2"/>
      <c r="K59" s="2"/>
    </row>
    <row r="60" spans="1:11" ht="35.1" customHeight="1">
      <c r="A60" s="92"/>
      <c r="B60" s="92"/>
      <c r="C60" s="4" t="s">
        <v>677</v>
      </c>
      <c r="D60" s="3" t="s">
        <v>243</v>
      </c>
      <c r="E60" s="3" t="s">
        <v>688</v>
      </c>
      <c r="F60" s="3" t="s">
        <v>689</v>
      </c>
      <c r="G60" s="2"/>
      <c r="H60" s="3"/>
      <c r="I60" s="2"/>
      <c r="J60" s="2"/>
      <c r="K60" s="2"/>
    </row>
    <row r="61" spans="1:11" ht="35.1" customHeight="1">
      <c r="A61" s="92"/>
      <c r="B61" s="92"/>
      <c r="C61" s="4" t="s">
        <v>677</v>
      </c>
      <c r="D61" s="3" t="s">
        <v>244</v>
      </c>
      <c r="E61" s="3" t="s">
        <v>690</v>
      </c>
      <c r="F61" s="3" t="s">
        <v>691</v>
      </c>
      <c r="G61" s="2"/>
      <c r="H61" s="3"/>
      <c r="I61" s="2"/>
      <c r="J61" s="2"/>
      <c r="K61" s="2"/>
    </row>
    <row r="62" spans="1:11" ht="35.1" customHeight="1">
      <c r="A62" s="92"/>
      <c r="B62" s="92"/>
      <c r="C62" s="4" t="s">
        <v>677</v>
      </c>
      <c r="D62" s="3" t="s">
        <v>247</v>
      </c>
      <c r="E62" s="3" t="s">
        <v>692</v>
      </c>
      <c r="F62" s="3" t="s">
        <v>693</v>
      </c>
      <c r="G62" s="2"/>
      <c r="H62" s="3"/>
      <c r="I62" s="2"/>
      <c r="J62" s="2"/>
      <c r="K62" s="2"/>
    </row>
    <row r="63" spans="1:11" ht="35.1" customHeight="1">
      <c r="A63" s="92"/>
      <c r="B63" s="92"/>
      <c r="C63" s="4" t="s">
        <v>677</v>
      </c>
      <c r="D63" s="3" t="s">
        <v>248</v>
      </c>
      <c r="E63" s="3" t="s">
        <v>617</v>
      </c>
      <c r="F63" s="3" t="s">
        <v>694</v>
      </c>
      <c r="G63" s="2"/>
      <c r="H63" s="3"/>
      <c r="I63" s="2"/>
      <c r="J63" s="2"/>
      <c r="K63" s="2"/>
    </row>
    <row r="64" spans="1:11" ht="35.1" customHeight="1">
      <c r="A64" s="92"/>
      <c r="B64" s="92"/>
      <c r="C64" s="4" t="s">
        <v>677</v>
      </c>
      <c r="D64" s="3" t="s">
        <v>251</v>
      </c>
      <c r="E64" s="3" t="s">
        <v>695</v>
      </c>
      <c r="F64" s="3" t="s">
        <v>696</v>
      </c>
      <c r="G64" s="2"/>
      <c r="H64" s="3"/>
      <c r="I64" s="2"/>
      <c r="J64" s="2"/>
      <c r="K64" s="2"/>
    </row>
    <row r="65" spans="1:11" ht="35.1" customHeight="1">
      <c r="A65" s="92"/>
      <c r="B65" s="92"/>
      <c r="C65" s="4" t="s">
        <v>677</v>
      </c>
      <c r="D65" s="3" t="s">
        <v>254</v>
      </c>
      <c r="E65" s="3" t="s">
        <v>697</v>
      </c>
      <c r="F65" s="3" t="s">
        <v>698</v>
      </c>
      <c r="G65" s="2"/>
      <c r="H65" s="3"/>
      <c r="I65" s="2"/>
      <c r="J65" s="2"/>
      <c r="K65" s="2"/>
    </row>
    <row r="66" spans="1:11" ht="35.1" customHeight="1">
      <c r="A66" s="92"/>
      <c r="B66" s="92"/>
      <c r="C66" s="4" t="s">
        <v>699</v>
      </c>
      <c r="D66" s="3" t="s">
        <v>257</v>
      </c>
      <c r="E66" s="3" t="s">
        <v>627</v>
      </c>
      <c r="F66" s="3" t="s">
        <v>700</v>
      </c>
      <c r="G66" s="2"/>
      <c r="H66" s="3"/>
      <c r="I66" s="2"/>
      <c r="J66" s="2"/>
      <c r="K66" s="2"/>
    </row>
    <row r="67" spans="1:11" ht="35.1" customHeight="1">
      <c r="A67" s="92"/>
      <c r="B67" s="92"/>
      <c r="C67" s="4" t="s">
        <v>677</v>
      </c>
      <c r="D67" s="3" t="s">
        <v>259</v>
      </c>
      <c r="E67" s="3" t="s">
        <v>701</v>
      </c>
      <c r="F67" s="3" t="s">
        <v>702</v>
      </c>
      <c r="G67" s="2"/>
      <c r="H67" s="3"/>
      <c r="I67" s="2"/>
      <c r="J67" s="2"/>
      <c r="K67" s="2"/>
    </row>
    <row r="68" spans="1:11" ht="35.1" customHeight="1">
      <c r="A68" s="92"/>
      <c r="B68" s="92"/>
      <c r="C68" s="4" t="s">
        <v>677</v>
      </c>
      <c r="D68" s="3" t="s">
        <v>261</v>
      </c>
      <c r="E68" s="3" t="s">
        <v>703</v>
      </c>
      <c r="F68" s="3" t="s">
        <v>704</v>
      </c>
      <c r="G68" s="2"/>
      <c r="H68" s="3"/>
      <c r="I68" s="2"/>
      <c r="J68" s="2"/>
      <c r="K68" s="2"/>
    </row>
    <row r="69" spans="1:11" ht="35.1" customHeight="1">
      <c r="A69" s="92"/>
      <c r="B69" s="92"/>
      <c r="C69" s="4" t="s">
        <v>677</v>
      </c>
      <c r="D69" s="3" t="s">
        <v>263</v>
      </c>
      <c r="E69" s="3" t="s">
        <v>705</v>
      </c>
      <c r="F69" s="3" t="s">
        <v>706</v>
      </c>
      <c r="G69" s="2"/>
      <c r="H69" s="3"/>
      <c r="I69" s="2"/>
      <c r="J69" s="2"/>
      <c r="K69" s="2"/>
    </row>
    <row r="70" spans="1:11" ht="35.1" customHeight="1">
      <c r="A70" s="92"/>
      <c r="B70" s="92"/>
      <c r="C70" s="4" t="s">
        <v>677</v>
      </c>
      <c r="D70" s="3" t="s">
        <v>264</v>
      </c>
      <c r="E70" s="3" t="s">
        <v>707</v>
      </c>
      <c r="F70" s="3" t="s">
        <v>706</v>
      </c>
      <c r="G70" s="2"/>
      <c r="H70" s="3"/>
      <c r="I70" s="2"/>
      <c r="J70" s="2"/>
      <c r="K70" s="2"/>
    </row>
    <row r="71" spans="1:11" ht="35.1" customHeight="1">
      <c r="A71" s="92"/>
      <c r="B71" s="92"/>
      <c r="C71" s="4" t="s">
        <v>677</v>
      </c>
      <c r="D71" s="3" t="s">
        <v>267</v>
      </c>
      <c r="E71" s="3" t="s">
        <v>708</v>
      </c>
      <c r="F71" s="3" t="s">
        <v>709</v>
      </c>
      <c r="G71" s="2"/>
      <c r="H71" s="3"/>
      <c r="I71" s="2"/>
      <c r="J71" s="2"/>
      <c r="K71" s="2"/>
    </row>
    <row r="72" spans="1:11" ht="35.1" customHeight="1">
      <c r="A72" s="92"/>
      <c r="B72" s="92"/>
      <c r="C72" s="4" t="s">
        <v>677</v>
      </c>
      <c r="D72" s="3" t="s">
        <v>268</v>
      </c>
      <c r="E72" s="3" t="s">
        <v>710</v>
      </c>
      <c r="F72" s="3" t="s">
        <v>711</v>
      </c>
      <c r="G72" s="2"/>
      <c r="H72" s="3"/>
      <c r="I72" s="2"/>
      <c r="J72" s="2"/>
      <c r="K72" s="2"/>
    </row>
    <row r="73" spans="1:11" ht="35.1" customHeight="1">
      <c r="A73" s="92"/>
      <c r="B73" s="92"/>
      <c r="C73" s="4" t="s">
        <v>677</v>
      </c>
      <c r="D73" s="3" t="s">
        <v>271</v>
      </c>
      <c r="E73" s="3" t="s">
        <v>712</v>
      </c>
      <c r="F73" s="3" t="s">
        <v>713</v>
      </c>
      <c r="G73" s="2"/>
      <c r="H73" s="3"/>
      <c r="I73" s="2"/>
      <c r="J73" s="2"/>
      <c r="K73" s="2"/>
    </row>
    <row r="74" spans="1:11" ht="35.1" customHeight="1">
      <c r="A74" s="92"/>
      <c r="B74" s="92"/>
      <c r="C74" s="4" t="s">
        <v>714</v>
      </c>
      <c r="D74" s="3" t="s">
        <v>274</v>
      </c>
      <c r="E74" s="3" t="s">
        <v>715</v>
      </c>
      <c r="F74" s="3" t="s">
        <v>716</v>
      </c>
      <c r="G74" s="2"/>
      <c r="H74" s="3"/>
      <c r="I74" s="2"/>
      <c r="J74" s="2"/>
      <c r="K74" s="2"/>
    </row>
    <row r="75" spans="1:11" ht="35.1" customHeight="1">
      <c r="A75" s="92"/>
      <c r="B75" s="92"/>
      <c r="C75" s="4" t="s">
        <v>677</v>
      </c>
      <c r="D75" s="3" t="s">
        <v>277</v>
      </c>
      <c r="E75" s="3" t="s">
        <v>717</v>
      </c>
      <c r="F75" s="3" t="s">
        <v>718</v>
      </c>
      <c r="G75" s="2"/>
      <c r="H75" s="3"/>
      <c r="I75" s="2"/>
      <c r="J75" s="2"/>
      <c r="K75" s="2"/>
    </row>
    <row r="76" spans="1:11" ht="35.1" customHeight="1">
      <c r="A76" s="92"/>
      <c r="B76" s="92"/>
      <c r="C76" s="4" t="s">
        <v>677</v>
      </c>
      <c r="D76" s="3" t="s">
        <v>280</v>
      </c>
      <c r="E76" s="3" t="s">
        <v>719</v>
      </c>
      <c r="F76" s="3" t="s">
        <v>720</v>
      </c>
      <c r="G76" s="2"/>
      <c r="H76" s="3"/>
      <c r="I76" s="2"/>
      <c r="J76" s="2"/>
      <c r="K76" s="2"/>
    </row>
    <row r="77" spans="1:11" ht="35.1" customHeight="1">
      <c r="A77" s="92"/>
      <c r="B77" s="92"/>
      <c r="C77" s="4" t="s">
        <v>677</v>
      </c>
      <c r="D77" s="3" t="s">
        <v>283</v>
      </c>
      <c r="E77" s="3" t="s">
        <v>635</v>
      </c>
      <c r="F77" s="3" t="s">
        <v>709</v>
      </c>
      <c r="G77" s="2"/>
      <c r="H77" s="3"/>
      <c r="I77" s="2"/>
      <c r="J77" s="2"/>
      <c r="K77" s="2"/>
    </row>
    <row r="78" spans="1:11" ht="35.1" customHeight="1">
      <c r="A78" s="92"/>
      <c r="B78" s="92"/>
      <c r="C78" s="4" t="s">
        <v>677</v>
      </c>
      <c r="D78" s="3" t="s">
        <v>286</v>
      </c>
      <c r="E78" s="3" t="s">
        <v>617</v>
      </c>
      <c r="F78" s="3" t="s">
        <v>721</v>
      </c>
      <c r="G78" s="2"/>
      <c r="H78" s="3"/>
      <c r="I78" s="2"/>
      <c r="J78" s="2"/>
      <c r="K78" s="2"/>
    </row>
    <row r="79" spans="1:11" ht="35.1" customHeight="1">
      <c r="A79" s="92"/>
      <c r="B79" s="92"/>
      <c r="C79" s="4" t="s">
        <v>677</v>
      </c>
      <c r="D79" s="3" t="s">
        <v>289</v>
      </c>
      <c r="E79" s="3" t="s">
        <v>717</v>
      </c>
      <c r="F79" s="3" t="s">
        <v>722</v>
      </c>
      <c r="G79" s="2"/>
      <c r="H79" s="3"/>
      <c r="I79" s="2"/>
      <c r="J79" s="2"/>
      <c r="K79" s="2"/>
    </row>
    <row r="80" spans="1:11" ht="35.1" customHeight="1">
      <c r="A80" s="92"/>
      <c r="B80" s="92"/>
      <c r="C80" s="4" t="s">
        <v>677</v>
      </c>
      <c r="D80" s="3" t="s">
        <v>291</v>
      </c>
      <c r="E80" s="3" t="s">
        <v>723</v>
      </c>
      <c r="F80" s="3" t="s">
        <v>724</v>
      </c>
      <c r="G80" s="2"/>
      <c r="H80" s="3"/>
      <c r="I80" s="2"/>
      <c r="J80" s="2"/>
      <c r="K80" s="2"/>
    </row>
    <row r="81" spans="1:11" ht="35.1" customHeight="1">
      <c r="A81" s="92"/>
      <c r="B81" s="92"/>
      <c r="C81" s="4" t="s">
        <v>677</v>
      </c>
      <c r="D81" s="3" t="s">
        <v>294</v>
      </c>
      <c r="E81" s="3" t="s">
        <v>725</v>
      </c>
      <c r="F81" s="3" t="s">
        <v>726</v>
      </c>
      <c r="G81" s="2"/>
      <c r="H81" s="3"/>
      <c r="I81" s="2"/>
      <c r="J81" s="2"/>
      <c r="K81" s="2"/>
    </row>
    <row r="82" spans="1:11" ht="35.1" customHeight="1">
      <c r="A82" s="92"/>
      <c r="B82" s="92"/>
      <c r="C82" s="4" t="s">
        <v>677</v>
      </c>
      <c r="D82" s="3" t="s">
        <v>298</v>
      </c>
      <c r="E82" s="3" t="s">
        <v>727</v>
      </c>
      <c r="F82" s="3" t="s">
        <v>728</v>
      </c>
      <c r="G82" s="2"/>
      <c r="H82" s="3"/>
      <c r="I82" s="2"/>
      <c r="J82" s="2"/>
      <c r="K82" s="2"/>
    </row>
    <row r="83" spans="1:11" ht="35.1" customHeight="1">
      <c r="A83" s="92"/>
      <c r="B83" s="92"/>
      <c r="C83" s="4" t="s">
        <v>677</v>
      </c>
      <c r="D83" s="3" t="s">
        <v>299</v>
      </c>
      <c r="E83" s="3" t="s">
        <v>729</v>
      </c>
      <c r="F83" s="3" t="s">
        <v>730</v>
      </c>
      <c r="G83" s="2"/>
      <c r="H83" s="3"/>
      <c r="I83" s="2"/>
      <c r="J83" s="2"/>
      <c r="K83" s="2"/>
    </row>
    <row r="84" spans="1:11" ht="35.1" customHeight="1">
      <c r="A84" s="92"/>
      <c r="B84" s="92"/>
      <c r="C84" s="4" t="s">
        <v>677</v>
      </c>
      <c r="D84" s="3" t="s">
        <v>302</v>
      </c>
      <c r="E84" s="3" t="s">
        <v>731</v>
      </c>
      <c r="F84" s="3" t="s">
        <v>732</v>
      </c>
      <c r="G84" s="2"/>
      <c r="H84" s="3"/>
      <c r="I84" s="2"/>
      <c r="J84" s="2"/>
      <c r="K84" s="2"/>
    </row>
    <row r="85" spans="1:11" ht="35.1" customHeight="1">
      <c r="A85" s="92"/>
      <c r="B85" s="92"/>
      <c r="C85" s="4" t="s">
        <v>714</v>
      </c>
      <c r="D85" s="3" t="s">
        <v>733</v>
      </c>
      <c r="E85" s="3" t="s">
        <v>734</v>
      </c>
      <c r="F85" s="3" t="s">
        <v>735</v>
      </c>
      <c r="G85" s="2"/>
      <c r="H85" s="3"/>
      <c r="I85" s="2"/>
      <c r="J85" s="2"/>
      <c r="K85" s="2"/>
    </row>
    <row r="86" spans="1:11" ht="35.1" customHeight="1">
      <c r="A86" s="92"/>
      <c r="B86" s="92"/>
      <c r="C86" s="4" t="s">
        <v>677</v>
      </c>
      <c r="D86" s="3" t="s">
        <v>736</v>
      </c>
      <c r="E86" s="3" t="s">
        <v>737</v>
      </c>
      <c r="F86" s="3" t="s">
        <v>738</v>
      </c>
      <c r="G86" s="2"/>
      <c r="H86" s="3"/>
      <c r="I86" s="2"/>
      <c r="J86" s="2"/>
      <c r="K86" s="2"/>
    </row>
    <row r="87" spans="1:11" ht="35.1" customHeight="1">
      <c r="A87" s="92"/>
      <c r="B87" s="92"/>
      <c r="C87" s="4" t="s">
        <v>677</v>
      </c>
      <c r="D87" s="3" t="s">
        <v>739</v>
      </c>
      <c r="E87" s="3" t="s">
        <v>740</v>
      </c>
      <c r="F87" s="3" t="s">
        <v>741</v>
      </c>
      <c r="G87" s="2"/>
      <c r="H87" s="3"/>
      <c r="I87" s="2"/>
      <c r="J87" s="2"/>
      <c r="K87" s="2"/>
    </row>
    <row r="88" spans="1:11" ht="35.1" customHeight="1">
      <c r="A88" s="92"/>
      <c r="B88" s="92"/>
      <c r="C88" s="4" t="s">
        <v>677</v>
      </c>
      <c r="D88" s="3" t="s">
        <v>742</v>
      </c>
      <c r="E88" s="3" t="s">
        <v>743</v>
      </c>
      <c r="F88" s="3" t="s">
        <v>744</v>
      </c>
      <c r="G88" s="2"/>
      <c r="H88" s="3"/>
      <c r="I88" s="2"/>
      <c r="J88" s="2"/>
      <c r="K88" s="2"/>
    </row>
    <row r="89" spans="1:11" ht="35.1" customHeight="1">
      <c r="A89" s="92"/>
      <c r="B89" s="92"/>
      <c r="C89" s="4" t="s">
        <v>677</v>
      </c>
      <c r="D89" s="3" t="s">
        <v>745</v>
      </c>
      <c r="E89" s="3" t="s">
        <v>746</v>
      </c>
      <c r="F89" s="3" t="s">
        <v>747</v>
      </c>
      <c r="G89" s="2"/>
      <c r="H89" s="3"/>
      <c r="I89" s="2"/>
      <c r="J89" s="2"/>
      <c r="K89" s="2"/>
    </row>
    <row r="90" spans="1:11" ht="35.1" customHeight="1">
      <c r="A90" s="92"/>
      <c r="B90" s="92"/>
      <c r="C90" s="4" t="s">
        <v>677</v>
      </c>
      <c r="D90" s="3" t="s">
        <v>748</v>
      </c>
      <c r="E90" s="3" t="s">
        <v>617</v>
      </c>
      <c r="F90" s="3" t="s">
        <v>749</v>
      </c>
      <c r="G90" s="2"/>
      <c r="H90" s="3"/>
      <c r="I90" s="2"/>
      <c r="J90" s="2"/>
      <c r="K90" s="2"/>
    </row>
    <row r="91" spans="1:11" ht="35.1" customHeight="1">
      <c r="A91" s="92"/>
      <c r="B91" s="92"/>
      <c r="C91" s="4" t="s">
        <v>750</v>
      </c>
      <c r="D91" s="3" t="s">
        <v>751</v>
      </c>
      <c r="E91" s="3" t="s">
        <v>752</v>
      </c>
      <c r="F91" s="3" t="s">
        <v>753</v>
      </c>
      <c r="G91" s="2"/>
      <c r="H91" s="3"/>
      <c r="I91" s="2"/>
      <c r="J91" s="2"/>
      <c r="K91" s="2"/>
    </row>
    <row r="92" spans="1:11" ht="35.1" customHeight="1">
      <c r="A92" s="92"/>
      <c r="B92" s="92"/>
      <c r="C92" s="4" t="s">
        <v>714</v>
      </c>
      <c r="D92" s="3" t="s">
        <v>754</v>
      </c>
      <c r="E92" s="3"/>
      <c r="F92" s="3" t="s">
        <v>755</v>
      </c>
      <c r="G92" s="2"/>
      <c r="H92" s="3"/>
      <c r="I92" s="2"/>
      <c r="J92" s="2"/>
      <c r="K92" s="2"/>
    </row>
    <row r="93" spans="1:11" ht="35.1" customHeight="1">
      <c r="A93" s="92"/>
      <c r="B93" s="92"/>
      <c r="C93" s="4" t="s">
        <v>677</v>
      </c>
      <c r="D93" s="3" t="s">
        <v>756</v>
      </c>
      <c r="E93" s="3" t="s">
        <v>757</v>
      </c>
      <c r="F93" s="3" t="s">
        <v>758</v>
      </c>
      <c r="G93" s="2"/>
      <c r="H93" s="3"/>
      <c r="I93" s="2"/>
      <c r="J93" s="2"/>
      <c r="K93" s="2"/>
    </row>
    <row r="94" spans="1:11" ht="35.1" customHeight="1">
      <c r="A94" s="92"/>
      <c r="B94" s="92"/>
      <c r="C94" s="4" t="s">
        <v>677</v>
      </c>
      <c r="D94" s="3" t="s">
        <v>759</v>
      </c>
      <c r="E94" s="3" t="s">
        <v>760</v>
      </c>
      <c r="F94" s="3" t="s">
        <v>761</v>
      </c>
      <c r="G94" s="2"/>
      <c r="H94" s="3"/>
      <c r="I94" s="2"/>
      <c r="J94" s="2"/>
      <c r="K94" s="2"/>
    </row>
    <row r="95" spans="1:11" ht="35.1" customHeight="1">
      <c r="A95" s="92"/>
      <c r="B95" s="92"/>
      <c r="C95" s="4" t="s">
        <v>677</v>
      </c>
      <c r="D95" s="3" t="s">
        <v>762</v>
      </c>
      <c r="E95" s="3" t="s">
        <v>763</v>
      </c>
      <c r="F95" s="3" t="s">
        <v>764</v>
      </c>
      <c r="G95" s="2"/>
      <c r="H95" s="3"/>
      <c r="I95" s="2"/>
      <c r="J95" s="2"/>
      <c r="K95" s="2"/>
    </row>
    <row r="96" spans="1:11" ht="35.1" customHeight="1">
      <c r="A96" s="92"/>
      <c r="B96" s="92"/>
      <c r="C96" s="4" t="s">
        <v>677</v>
      </c>
      <c r="D96" s="3" t="s">
        <v>765</v>
      </c>
      <c r="E96" s="3" t="s">
        <v>766</v>
      </c>
      <c r="F96" s="3" t="s">
        <v>767</v>
      </c>
      <c r="G96" s="2"/>
      <c r="H96" s="3"/>
      <c r="I96" s="2"/>
      <c r="J96" s="2"/>
      <c r="K96" s="2"/>
    </row>
    <row r="97" spans="1:11" ht="35.1" customHeight="1">
      <c r="A97" s="92"/>
      <c r="B97" s="92"/>
      <c r="C97" s="4" t="s">
        <v>677</v>
      </c>
      <c r="D97" s="3" t="s">
        <v>768</v>
      </c>
      <c r="E97" s="3"/>
      <c r="F97" s="3" t="s">
        <v>769</v>
      </c>
      <c r="G97" s="2"/>
      <c r="H97" s="3"/>
      <c r="I97" s="2"/>
      <c r="J97" s="2"/>
      <c r="K97" s="2"/>
    </row>
    <row r="98" spans="1:11" ht="35.1" customHeight="1">
      <c r="A98" s="92"/>
      <c r="B98" s="92"/>
      <c r="C98" s="4" t="s">
        <v>677</v>
      </c>
      <c r="D98" s="3" t="s">
        <v>770</v>
      </c>
      <c r="E98" s="3" t="s">
        <v>771</v>
      </c>
      <c r="F98" s="3" t="s">
        <v>772</v>
      </c>
      <c r="G98" s="2"/>
      <c r="H98" s="3"/>
      <c r="I98" s="2"/>
      <c r="J98" s="2"/>
      <c r="K98" s="2"/>
    </row>
    <row r="99" spans="1:11" ht="35.1" customHeight="1">
      <c r="A99" s="92"/>
      <c r="B99" s="92"/>
      <c r="C99" s="4" t="s">
        <v>677</v>
      </c>
      <c r="D99" s="3" t="s">
        <v>773</v>
      </c>
      <c r="E99" s="3"/>
      <c r="F99" s="3" t="s">
        <v>774</v>
      </c>
      <c r="G99" s="2"/>
      <c r="H99" s="3"/>
      <c r="I99" s="2"/>
      <c r="J99" s="2"/>
      <c r="K99" s="2"/>
    </row>
    <row r="100" spans="1:11" ht="35.1" customHeight="1">
      <c r="A100" s="92"/>
      <c r="B100" s="92"/>
      <c r="C100" s="4" t="s">
        <v>677</v>
      </c>
      <c r="D100" s="3" t="s">
        <v>775</v>
      </c>
      <c r="E100" s="3" t="s">
        <v>717</v>
      </c>
      <c r="F100" s="3" t="s">
        <v>776</v>
      </c>
      <c r="G100" s="2"/>
      <c r="H100" s="3"/>
      <c r="I100" s="2"/>
      <c r="J100" s="2"/>
      <c r="K100" s="2"/>
    </row>
    <row r="101" spans="1:11" ht="35.1" customHeight="1">
      <c r="A101" s="92"/>
      <c r="B101" s="92"/>
      <c r="C101" s="4" t="s">
        <v>677</v>
      </c>
      <c r="D101" s="3" t="s">
        <v>777</v>
      </c>
      <c r="E101" s="3" t="s">
        <v>717</v>
      </c>
      <c r="F101" s="3" t="s">
        <v>778</v>
      </c>
      <c r="G101" s="2"/>
      <c r="H101" s="3"/>
      <c r="I101" s="2"/>
      <c r="J101" s="2"/>
      <c r="K101" s="2"/>
    </row>
    <row r="102" spans="1:11" ht="35.1" customHeight="1">
      <c r="A102" s="92"/>
      <c r="B102" s="92"/>
      <c r="C102" s="4" t="s">
        <v>677</v>
      </c>
      <c r="D102" s="3" t="s">
        <v>779</v>
      </c>
      <c r="E102" s="3" t="s">
        <v>780</v>
      </c>
      <c r="F102" s="3" t="s">
        <v>776</v>
      </c>
      <c r="G102" s="2"/>
      <c r="H102" s="3"/>
      <c r="I102" s="2"/>
      <c r="J102" s="2"/>
      <c r="K102" s="2"/>
    </row>
    <row r="103" spans="1:11" ht="35.1" customHeight="1">
      <c r="A103" s="92"/>
      <c r="B103" s="92"/>
      <c r="C103" s="4" t="s">
        <v>677</v>
      </c>
      <c r="D103" s="3" t="s">
        <v>781</v>
      </c>
      <c r="E103" s="3" t="s">
        <v>782</v>
      </c>
      <c r="F103" s="3" t="s">
        <v>776</v>
      </c>
      <c r="G103" s="2"/>
      <c r="H103" s="3"/>
      <c r="I103" s="2"/>
      <c r="J103" s="2"/>
      <c r="K103" s="2"/>
    </row>
    <row r="104" spans="1:11" ht="35.1" customHeight="1">
      <c r="A104" s="92"/>
      <c r="B104" s="92"/>
      <c r="C104" s="4" t="s">
        <v>677</v>
      </c>
      <c r="D104" s="3" t="s">
        <v>783</v>
      </c>
      <c r="E104" s="3" t="s">
        <v>784</v>
      </c>
      <c r="F104" s="3" t="s">
        <v>776</v>
      </c>
      <c r="G104" s="2"/>
      <c r="H104" s="3"/>
      <c r="I104" s="2"/>
      <c r="J104" s="2"/>
      <c r="K104" s="2"/>
    </row>
    <row r="105" spans="1:11" ht="35.1" customHeight="1">
      <c r="A105" s="92"/>
      <c r="B105" s="92"/>
      <c r="C105" s="4" t="s">
        <v>699</v>
      </c>
      <c r="D105" s="3" t="s">
        <v>785</v>
      </c>
      <c r="E105" s="3" t="s">
        <v>786</v>
      </c>
      <c r="F105" s="3" t="s">
        <v>787</v>
      </c>
      <c r="G105" s="2"/>
      <c r="H105" s="3"/>
      <c r="I105" s="2"/>
      <c r="J105" s="2"/>
      <c r="K105" s="2"/>
    </row>
    <row r="106" spans="1:11" ht="35.1" customHeight="1">
      <c r="A106" s="92"/>
      <c r="B106" s="92"/>
      <c r="C106" s="4" t="s">
        <v>699</v>
      </c>
      <c r="D106" s="3" t="s">
        <v>788</v>
      </c>
      <c r="E106" s="3" t="s">
        <v>789</v>
      </c>
      <c r="F106" s="3" t="s">
        <v>790</v>
      </c>
      <c r="G106" s="2"/>
      <c r="H106" s="3"/>
      <c r="I106" s="2"/>
      <c r="J106" s="2"/>
      <c r="K106" s="2"/>
    </row>
    <row r="107" spans="1:11" ht="35.1" customHeight="1">
      <c r="A107" s="92"/>
      <c r="B107" s="92"/>
      <c r="C107" s="4" t="s">
        <v>699</v>
      </c>
      <c r="D107" s="3" t="s">
        <v>791</v>
      </c>
      <c r="E107" s="3" t="s">
        <v>792</v>
      </c>
      <c r="F107" s="3" t="s">
        <v>793</v>
      </c>
      <c r="G107" s="2"/>
      <c r="H107" s="3"/>
      <c r="I107" s="2"/>
      <c r="J107" s="2"/>
      <c r="K107" s="2"/>
    </row>
    <row r="108" spans="1:11" ht="35.1" customHeight="1">
      <c r="A108" s="92"/>
      <c r="B108" s="92"/>
      <c r="C108" s="4" t="s">
        <v>699</v>
      </c>
      <c r="D108" s="3" t="s">
        <v>794</v>
      </c>
      <c r="E108" s="3"/>
      <c r="F108" s="3"/>
      <c r="G108" s="2"/>
      <c r="H108" s="2"/>
      <c r="I108" s="2"/>
      <c r="J108" s="2"/>
      <c r="K108" s="2"/>
    </row>
    <row r="109" spans="1:11" ht="35.1" customHeight="1">
      <c r="A109" s="92"/>
      <c r="B109" s="92"/>
      <c r="C109" s="4" t="s">
        <v>150</v>
      </c>
      <c r="D109" s="3" t="s">
        <v>795</v>
      </c>
      <c r="E109" s="3"/>
      <c r="F109" s="3"/>
      <c r="G109" s="2"/>
      <c r="H109" s="2"/>
      <c r="I109" s="2"/>
      <c r="J109" s="2"/>
      <c r="K109" s="2"/>
    </row>
    <row r="110" spans="1:11" ht="35.1" customHeight="1">
      <c r="A110" s="92"/>
      <c r="B110" s="92"/>
      <c r="C110" s="4" t="s">
        <v>150</v>
      </c>
      <c r="D110" s="3" t="s">
        <v>796</v>
      </c>
      <c r="E110" s="3"/>
      <c r="F110" s="3"/>
      <c r="G110" s="2"/>
      <c r="H110" s="2"/>
      <c r="I110" s="2"/>
      <c r="J110" s="2"/>
      <c r="K110" s="2"/>
    </row>
    <row r="111" spans="1:11" ht="35.1" customHeight="1">
      <c r="A111" s="92"/>
      <c r="B111" s="92"/>
      <c r="C111" s="4" t="s">
        <v>150</v>
      </c>
      <c r="D111" s="3" t="s">
        <v>797</v>
      </c>
      <c r="E111" s="3"/>
      <c r="F111" s="3"/>
      <c r="G111" s="2"/>
      <c r="H111" s="2"/>
      <c r="I111" s="2"/>
      <c r="J111" s="2"/>
      <c r="K111" s="2"/>
    </row>
    <row r="112" spans="1:11" ht="35.1" customHeight="1">
      <c r="A112" s="92"/>
      <c r="B112" s="92"/>
      <c r="C112" s="4" t="s">
        <v>150</v>
      </c>
      <c r="D112" s="3" t="s">
        <v>798</v>
      </c>
      <c r="E112" s="3"/>
      <c r="F112" s="3"/>
      <c r="G112" s="2"/>
      <c r="H112" s="2"/>
      <c r="I112" s="2"/>
      <c r="J112" s="2"/>
      <c r="K112" s="2"/>
    </row>
    <row r="113" spans="1:11" ht="35.1" customHeight="1">
      <c r="A113" s="92"/>
      <c r="B113" s="92"/>
      <c r="C113" s="4" t="s">
        <v>150</v>
      </c>
      <c r="D113" s="3" t="s">
        <v>799</v>
      </c>
      <c r="E113" s="3"/>
      <c r="F113" s="3"/>
      <c r="G113" s="2"/>
      <c r="H113" s="2"/>
      <c r="I113" s="2"/>
      <c r="J113" s="2"/>
      <c r="K113" s="2"/>
    </row>
    <row r="114" spans="1:11" ht="35.1" customHeight="1">
      <c r="A114" s="93"/>
      <c r="B114" s="93"/>
      <c r="C114" s="4" t="s">
        <v>150</v>
      </c>
      <c r="D114" s="3" t="s">
        <v>800</v>
      </c>
      <c r="E114" s="3"/>
      <c r="F114" s="3"/>
      <c r="G114" s="2"/>
      <c r="H114" s="2"/>
      <c r="I114" s="2"/>
      <c r="J114" s="2"/>
      <c r="K114" s="2"/>
    </row>
    <row r="115" spans="1:11">
      <c r="A115" s="7"/>
      <c r="B115" s="7"/>
    </row>
  </sheetData>
  <mergeCells count="7">
    <mergeCell ref="A38:A114"/>
    <mergeCell ref="B38:B114"/>
    <mergeCell ref="B1:C1"/>
    <mergeCell ref="A2:A19"/>
    <mergeCell ref="B2:B19"/>
    <mergeCell ref="A32:A37"/>
    <mergeCell ref="B32:B37"/>
  </mergeCells>
  <phoneticPr fontId="4" type="noConversion"/>
  <pageMargins left="0.70866141732283472" right="0.70866141732283472" top="0.74803149606299213" bottom="0.74803149606299213" header="0.31496062992125984" footer="0.31496062992125984"/>
  <pageSetup paperSize="9" scale="75" orientation="landscape" r:id="rId1"/>
  <rowBreaks count="5" manualBreakCount="5">
    <brk id="19" max="10" man="1"/>
    <brk id="38" max="10" man="1"/>
    <brk id="51" max="10" man="1"/>
    <brk id="59" max="10" man="1"/>
    <brk id="71" max="1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件" ma:contentTypeID="0x01010038D65A228B573C4C94E4DFD4AFE1964D" ma:contentTypeVersion="0" ma:contentTypeDescription="建立新的文件。" ma:contentTypeScope="" ma:versionID="fb5510e92502559977738c74e2c94a4c">
  <xsd:schema xmlns:xsd="http://www.w3.org/2001/XMLSchema" xmlns:xs="http://www.w3.org/2001/XMLSchema" xmlns:p="http://schemas.microsoft.com/office/2006/metadata/properties" targetNamespace="http://schemas.microsoft.com/office/2006/metadata/properties" ma:root="true" ma:fieldsID="a3a031ce8001deadc4b2b294bd147a4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29ED8A-C88E-49D0-90D5-4AE811B427B0}"/>
</file>

<file path=customXml/itemProps2.xml><?xml version="1.0" encoding="utf-8"?>
<ds:datastoreItem xmlns:ds="http://schemas.openxmlformats.org/officeDocument/2006/customXml" ds:itemID="{F7CAEA6F-D20F-49F6-92FA-1F28D2B2714D}"/>
</file>

<file path=customXml/itemProps3.xml><?xml version="1.0" encoding="utf-8"?>
<ds:datastoreItem xmlns:ds="http://schemas.openxmlformats.org/officeDocument/2006/customXml" ds:itemID="{FBCBA8F2-1071-4214-903D-242DFE8EFBE4}"/>
</file>

<file path=docProps/app.xml><?xml version="1.0" encoding="utf-8"?>
<Properties xmlns="http://schemas.openxmlformats.org/officeDocument/2006/extended-properties" xmlns:vt="http://schemas.openxmlformats.org/officeDocument/2006/docPropsVTypes">
  <Application>Microsoft Excel Online</Application>
  <Manager/>
  <Company>TSC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風險評鑑表</dc:title>
  <dc:subject/>
  <dc:creator>nick chang</dc:creator>
  <cp:keywords/>
  <dc:description/>
  <cp:lastModifiedBy>陳怡萍</cp:lastModifiedBy>
  <cp:revision/>
  <dcterms:created xsi:type="dcterms:W3CDTF">2007-08-15T09:25:02Z</dcterms:created>
  <dcterms:modified xsi:type="dcterms:W3CDTF">2025-08-14T08:16:50Z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0x01010038D65A228B573C4C94E4DFD4AFE1964D</vt:lpwstr>
  </property>
  <property fmtid="{D5CDD505-2E9C-101B-9397-08002B2CF9AE}" pid="3" name="MediaServiceImageTags">
    <vt:lpwstr/>
  </property>
  <property fmtid="{D5CDD505-2E9C-101B-9397-08002B2CF9AE}" pid="4" name="Order">
    <vt:r8>2095100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