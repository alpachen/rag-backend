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03"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skmh.sharepoint.com/sites/SKHISMS/Shared Documents/資安/ISO 27001/ISO27001轉版新驗/00.1-4階文件修正(顧問上傳)/ISMS-2-04_資通安全風險評鑑程序書/"/>
    </mc:Choice>
  </mc:AlternateContent>
  <xr:revisionPtr revIDLastSave="20" documentId="13_ncr:1_{FA6F29DE-6E41-4AE7-95D1-67C65C64E518}" xr6:coauthVersionLast="47" xr6:coauthVersionMax="47" xr10:uidLastSave="{F5775C39-99B9-4639-B50A-B643CBE1EA20}"/>
  <bookViews>
    <workbookView xWindow="-120" yWindow="-120" windowWidth="29040" windowHeight="15840" tabRatio="797" xr2:uid="{00000000-000D-0000-FFFF-FFFF00000000}"/>
  </bookViews>
  <sheets>
    <sheet name="資訊資產清冊與風險評鑑" sheetId="11" r:id="rId1"/>
    <sheet name="資產評分標準" sheetId="19" r:id="rId2"/>
    <sheet name="資產群組" sheetId="12" r:id="rId3"/>
    <sheet name="風險評鑑報告" sheetId="13" r:id="rId4"/>
    <sheet name="弱點、威脅與衝擊對應表" sheetId="14" r:id="rId5"/>
    <sheet name="風險排序&amp;因應措施" sheetId="16" r:id="rId6"/>
    <sheet name="既有防護措施" sheetId="17" r:id="rId7"/>
    <sheet name="風險處理(防護)計畫" sheetId="18" r:id="rId8"/>
    <sheet name="風險分布" sheetId="15" r:id="rId9"/>
  </sheets>
  <definedNames>
    <definedName name="_xlnm._FilterDatabase" localSheetId="3" hidden="1">風險評鑑報告!$A$1:$K$27</definedName>
    <definedName name="_xlnm._FilterDatabase" localSheetId="0" hidden="1">資訊資產清冊與風險評鑑!$A$3:$N$29</definedName>
    <definedName name="_Toc213038777" localSheetId="4">'弱點、威脅與衝擊對應表'!$A$182</definedName>
    <definedName name="_Toc213038778" localSheetId="4">'弱點、威脅與衝擊對應表'!$I$9</definedName>
    <definedName name="Asset_S_col">#REF!</definedName>
    <definedName name="AV_Col">#REF!</definedName>
    <definedName name="AV_Col2">#REF!</definedName>
    <definedName name="_xlnm.Print_Area" localSheetId="0">資訊資產清冊與風險評鑑!$A$1:$N$29</definedName>
    <definedName name="_xlnm.Print_Titles" localSheetId="0">資訊資產清冊與風險評鑑!$1:$3</definedName>
    <definedName name="Prob_Col">#REF!</definedName>
    <definedName name="Prob_Col2">#REF!</definedName>
    <definedName name="Risk_Col">#REF!</definedName>
    <definedName name="Risk_Col2">#REF!</definedName>
    <definedName name="Title_Main">#REF!</definedName>
    <definedName name="Title_Temp">#REF!</definedName>
    <definedName name="VT_col">#REF!</definedName>
    <definedName name="VT_col2">#REF!</definedName>
    <definedName name="Weak_Col">#REF!</definedName>
    <definedName name="Weak_Col2">#REF!</definedName>
    <definedName name="資產大類">#REF!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1" i="13" l="1"/>
  <c r="J61" i="13" s="1"/>
  <c r="E60" i="13"/>
  <c r="J60" i="13" s="1"/>
  <c r="E59" i="13"/>
  <c r="J59" i="13" s="1"/>
  <c r="E58" i="13"/>
  <c r="J58" i="13" s="1"/>
  <c r="E44" i="16" l="1"/>
  <c r="J44" i="16" s="1"/>
  <c r="B16" i="15" l="1"/>
  <c r="B2" i="15" l="1"/>
  <c r="B7" i="15"/>
  <c r="B15" i="15"/>
  <c r="B14" i="15"/>
  <c r="B8" i="15"/>
  <c r="B4" i="15"/>
  <c r="B12" i="15"/>
  <c r="B18" i="15"/>
  <c r="B10" i="15"/>
  <c r="B6" i="15"/>
  <c r="B17" i="15"/>
  <c r="B5" i="15"/>
  <c r="B9" i="15"/>
  <c r="B13" i="15"/>
  <c r="B3" i="15"/>
  <c r="B11" i="15"/>
  <c r="B20"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KPMG</author>
  </authors>
  <commentList>
    <comment ref="C2" authorId="0" shapeId="0" xr:uid="{00000000-0006-0000-0000-000001000000}">
      <text>
        <r>
          <rPr>
            <b/>
            <sz val="9"/>
            <color indexed="81"/>
            <rFont val="新細明體"/>
            <family val="1"/>
            <charset val="136"/>
          </rPr>
          <t xml:space="preserve">資產群組原則：
1. 資產性質相同
2. 資產控管方式無差異
3. 資產價值相同
</t>
        </r>
      </text>
    </comment>
    <comment ref="F3" authorId="0" shapeId="0" xr:uid="{00000000-0006-0000-0000-000003000000}">
      <text>
        <r>
          <rPr>
            <b/>
            <sz val="9"/>
            <color indexed="81"/>
            <rFont val="新細明體"/>
            <family val="1"/>
            <charset val="136"/>
          </rPr>
          <t>1.資產歸屬人
2.決定資產價值者</t>
        </r>
      </text>
    </comment>
    <comment ref="G3" authorId="0" shapeId="0" xr:uid="{00000000-0006-0000-0000-000004000000}">
      <text>
        <r>
          <rPr>
            <b/>
            <sz val="9"/>
            <color indexed="81"/>
            <rFont val="新細明體"/>
            <family val="1"/>
            <charset val="136"/>
          </rPr>
          <t>資產（系統）維運或管理人員（部門）</t>
        </r>
      </text>
    </comment>
    <comment ref="H3" authorId="0" shapeId="0" xr:uid="{00000000-0006-0000-0000-000005000000}">
      <text>
        <r>
          <rPr>
            <b/>
            <sz val="9"/>
            <color indexed="81"/>
            <rFont val="新細明體"/>
            <family val="1"/>
            <charset val="136"/>
          </rPr>
          <t>1.資產（系統）之使用者或部門
2.人員類資產毋須填寫</t>
        </r>
      </text>
    </comment>
    <comment ref="I3" authorId="0" shapeId="0" xr:uid="{00000000-0006-0000-0000-000006000000}">
      <text>
        <r>
          <rPr>
            <b/>
            <sz val="9"/>
            <color indexed="81"/>
            <rFont val="新細明體"/>
            <family val="1"/>
            <charset val="136"/>
          </rPr>
          <t>資產所在區域或位置</t>
        </r>
      </text>
    </comment>
    <comment ref="J3" authorId="0" shapeId="0" xr:uid="{00000000-0006-0000-0000-000007000000}">
      <text>
        <r>
          <rPr>
            <b/>
            <sz val="9"/>
            <color indexed="81"/>
            <rFont val="新細明體"/>
            <family val="1"/>
            <charset val="136"/>
          </rPr>
          <t>資產功能特性或用途說明</t>
        </r>
      </text>
    </comment>
  </commentList>
</comments>
</file>

<file path=xl/sharedStrings.xml><?xml version="1.0" encoding="utf-8"?>
<sst xmlns="http://schemas.openxmlformats.org/spreadsheetml/2006/main" count="2544" uniqueCount="378">
  <si>
    <r>
      <rPr>
        <b/>
        <sz val="12"/>
        <rFont val="標楷體"/>
        <family val="4"/>
        <charset val="136"/>
      </rPr>
      <t>群組
編號</t>
    </r>
    <phoneticPr fontId="2" type="noConversion"/>
  </si>
  <si>
    <r>
      <rPr>
        <b/>
        <sz val="12"/>
        <rFont val="標楷體"/>
        <family val="4"/>
        <charset val="136"/>
      </rPr>
      <t>資產
編號</t>
    </r>
    <phoneticPr fontId="2" type="noConversion"/>
  </si>
  <si>
    <r>
      <rPr>
        <b/>
        <sz val="12"/>
        <rFont val="標楷體"/>
        <family val="4"/>
        <charset val="136"/>
      </rPr>
      <t>資產群組名稱</t>
    </r>
    <phoneticPr fontId="2" type="noConversion"/>
  </si>
  <si>
    <r>
      <rPr>
        <b/>
        <sz val="12"/>
        <rFont val="標楷體"/>
        <family val="4"/>
        <charset val="136"/>
      </rPr>
      <t>資產類別</t>
    </r>
    <phoneticPr fontId="2" type="noConversion"/>
  </si>
  <si>
    <r>
      <rPr>
        <b/>
        <sz val="12"/>
        <rFont val="標楷體"/>
        <family val="4"/>
        <charset val="136"/>
      </rPr>
      <t>基本資料</t>
    </r>
    <phoneticPr fontId="2" type="noConversion"/>
  </si>
  <si>
    <r>
      <rPr>
        <b/>
        <sz val="10"/>
        <rFont val="標楷體"/>
        <family val="4"/>
        <charset val="136"/>
      </rPr>
      <t>機密性</t>
    </r>
    <phoneticPr fontId="2" type="noConversion"/>
  </si>
  <si>
    <r>
      <rPr>
        <b/>
        <sz val="10"/>
        <rFont val="標楷體"/>
        <family val="4"/>
        <charset val="136"/>
      </rPr>
      <t>完整性</t>
    </r>
    <phoneticPr fontId="2" type="noConversion"/>
  </si>
  <si>
    <r>
      <rPr>
        <b/>
        <sz val="10"/>
        <rFont val="標楷體"/>
        <family val="4"/>
        <charset val="136"/>
      </rPr>
      <t>可用性</t>
    </r>
    <phoneticPr fontId="2" type="noConversion"/>
  </si>
  <si>
    <t>資產
價值</t>
    <phoneticPr fontId="2" type="noConversion"/>
  </si>
  <si>
    <r>
      <rPr>
        <b/>
        <sz val="12"/>
        <rFont val="標楷體"/>
        <family val="4"/>
        <charset val="136"/>
      </rPr>
      <t>大類</t>
    </r>
    <phoneticPr fontId="2" type="noConversion"/>
  </si>
  <si>
    <r>
      <rPr>
        <b/>
        <sz val="12"/>
        <rFont val="標楷體"/>
        <family val="4"/>
        <charset val="136"/>
      </rPr>
      <t>小類</t>
    </r>
    <phoneticPr fontId="2" type="noConversion"/>
  </si>
  <si>
    <t>負責人</t>
  </si>
  <si>
    <t>管理單位</t>
  </si>
  <si>
    <t>使用單位</t>
  </si>
  <si>
    <r>
      <rPr>
        <b/>
        <sz val="12"/>
        <rFont val="標楷體"/>
        <family val="4"/>
        <charset val="136"/>
      </rPr>
      <t>存放位置</t>
    </r>
    <phoneticPr fontId="2" type="noConversion"/>
  </si>
  <si>
    <r>
      <rPr>
        <b/>
        <sz val="12"/>
        <rFont val="標楷體"/>
        <family val="4"/>
        <charset val="136"/>
      </rPr>
      <t>資產說明</t>
    </r>
    <r>
      <rPr>
        <b/>
        <sz val="12"/>
        <rFont val="Tahoma"/>
        <family val="2"/>
      </rPr>
      <t>/</t>
    </r>
    <r>
      <rPr>
        <b/>
        <sz val="12"/>
        <rFont val="標楷體"/>
        <family val="4"/>
        <charset val="136"/>
      </rPr>
      <t>備註</t>
    </r>
    <phoneticPr fontId="2" type="noConversion"/>
  </si>
  <si>
    <t>文件類資訊資產價值評分標準</t>
  </si>
  <si>
    <t>風險標準</t>
  </si>
  <si>
    <r>
      <t xml:space="preserve">C ( </t>
    </r>
    <r>
      <rPr>
        <b/>
        <sz val="12"/>
        <rFont val="標楷體"/>
        <family val="4"/>
        <charset val="136"/>
      </rPr>
      <t>機密性</t>
    </r>
    <r>
      <rPr>
        <b/>
        <sz val="12"/>
        <rFont val="Times New Roman"/>
        <family val="1"/>
      </rPr>
      <t xml:space="preserve"> )</t>
    </r>
  </si>
  <si>
    <r>
      <t xml:space="preserve">I ( </t>
    </r>
    <r>
      <rPr>
        <b/>
        <sz val="12"/>
        <rFont val="標楷體"/>
        <family val="4"/>
        <charset val="136"/>
      </rPr>
      <t>完整性</t>
    </r>
    <r>
      <rPr>
        <b/>
        <sz val="12"/>
        <rFont val="Times New Roman"/>
        <family val="1"/>
      </rPr>
      <t xml:space="preserve"> )</t>
    </r>
  </si>
  <si>
    <r>
      <t xml:space="preserve">A ( </t>
    </r>
    <r>
      <rPr>
        <b/>
        <sz val="12"/>
        <rFont val="標楷體"/>
        <family val="4"/>
        <charset val="136"/>
      </rPr>
      <t>可用性</t>
    </r>
    <r>
      <rPr>
        <b/>
        <sz val="12"/>
        <rFont val="Times New Roman"/>
        <family val="1"/>
      </rPr>
      <t xml:space="preserve"> )</t>
    </r>
  </si>
  <si>
    <t>定義說明</t>
  </si>
  <si>
    <t>著重於保護資產，確保只有獲得授權的人才能存取該資產</t>
  </si>
  <si>
    <r>
      <t>著重於確保資料的正確性及資產</t>
    </r>
    <r>
      <rPr>
        <sz val="12"/>
        <rFont val="Times New Roman"/>
        <family val="1"/>
      </rPr>
      <t>(</t>
    </r>
    <r>
      <rPr>
        <sz val="12"/>
        <rFont val="標楷體"/>
        <family val="4"/>
        <charset val="136"/>
      </rPr>
      <t>作業</t>
    </r>
    <r>
      <rPr>
        <sz val="12"/>
        <rFont val="Times New Roman"/>
        <family val="1"/>
      </rPr>
      <t>)</t>
    </r>
    <r>
      <rPr>
        <sz val="12"/>
        <rFont val="標楷體"/>
        <family val="4"/>
        <charset val="136"/>
      </rPr>
      <t>處理的完整性，以避免因運用錯誤的資料或因資產處理的不完全，而造成對組織的衝擊</t>
    </r>
  </si>
  <si>
    <t>確保資產提供使用者所需的服務，以達成預期之功能，主要為避免因災害而致使組織無法持續運作或提供服務之衝擊</t>
  </si>
  <si>
    <r>
      <t>n</t>
    </r>
    <r>
      <rPr>
        <sz val="7"/>
        <rFont val="Times New Roman"/>
        <family val="1"/>
      </rPr>
      <t xml:space="preserve"> </t>
    </r>
    <r>
      <rPr>
        <sz val="12"/>
        <rFont val="標楷體"/>
        <family val="4"/>
        <charset val="136"/>
      </rPr>
      <t>資產內資料屬於</t>
    </r>
    <r>
      <rPr>
        <b/>
        <sz val="12"/>
        <rFont val="標楷體"/>
        <family val="4"/>
        <charset val="136"/>
      </rPr>
      <t>密</t>
    </r>
  </si>
  <si>
    <r>
      <t>n</t>
    </r>
    <r>
      <rPr>
        <sz val="7"/>
        <rFont val="Times New Roman"/>
        <family val="1"/>
      </rPr>
      <t xml:space="preserve"> </t>
    </r>
    <r>
      <rPr>
        <sz val="12"/>
        <rFont val="標楷體"/>
        <family val="4"/>
        <charset val="136"/>
      </rPr>
      <t>資產內資料若不完整，將導致</t>
    </r>
    <r>
      <rPr>
        <b/>
        <sz val="12"/>
        <rFont val="標楷體"/>
        <family val="4"/>
        <charset val="136"/>
      </rPr>
      <t>全組織作業受創</t>
    </r>
  </si>
  <si>
    <r>
      <t>n</t>
    </r>
    <r>
      <rPr>
        <sz val="7"/>
        <rFont val="Times New Roman"/>
        <family val="1"/>
      </rPr>
      <t xml:space="preserve"> </t>
    </r>
    <r>
      <rPr>
        <sz val="12"/>
        <rFont val="標楷體"/>
        <family val="4"/>
        <charset val="136"/>
      </rPr>
      <t>作業</t>
    </r>
    <r>
      <rPr>
        <b/>
        <sz val="12"/>
        <rFont val="標楷體"/>
        <family val="4"/>
        <charset val="136"/>
      </rPr>
      <t>完全仰賴</t>
    </r>
    <r>
      <rPr>
        <sz val="12"/>
        <rFont val="標楷體"/>
        <family val="4"/>
        <charset val="136"/>
      </rPr>
      <t>資訊資產，且一旦資訊遺失或損毀時將</t>
    </r>
    <r>
      <rPr>
        <b/>
        <sz val="12"/>
        <rFont val="標楷體"/>
        <family val="4"/>
        <charset val="136"/>
      </rPr>
      <t>影響全組織</t>
    </r>
    <r>
      <rPr>
        <sz val="12"/>
        <rFont val="標楷體"/>
        <family val="4"/>
        <charset val="136"/>
      </rPr>
      <t>對外提供服務作業</t>
    </r>
  </si>
  <si>
    <t>極</t>
  </si>
  <si>
    <r>
      <t>n</t>
    </r>
    <r>
      <rPr>
        <sz val="7"/>
        <rFont val="Times New Roman"/>
        <family val="1"/>
      </rPr>
      <t xml:space="preserve"> </t>
    </r>
    <r>
      <rPr>
        <sz val="12"/>
        <rFont val="標楷體"/>
        <family val="4"/>
        <charset val="136"/>
      </rPr>
      <t>資料內容若洩漏會</t>
    </r>
    <r>
      <rPr>
        <b/>
        <sz val="12"/>
        <rFont val="標楷體"/>
        <family val="4"/>
        <charset val="136"/>
      </rPr>
      <t>大多數客戶權益</t>
    </r>
  </si>
  <si>
    <r>
      <t>n</t>
    </r>
    <r>
      <rPr>
        <sz val="7"/>
        <rFont val="Times New Roman"/>
        <family val="1"/>
      </rPr>
      <t xml:space="preserve"> </t>
    </r>
    <r>
      <rPr>
        <b/>
        <sz val="12"/>
        <rFont val="標楷體"/>
        <family val="4"/>
        <charset val="136"/>
      </rPr>
      <t>影響大多數客戶權益</t>
    </r>
    <r>
      <rPr>
        <sz val="12"/>
        <rFont val="標楷體"/>
        <family val="4"/>
        <charset val="136"/>
      </rPr>
      <t>。</t>
    </r>
  </si>
  <si>
    <t>高</t>
  </si>
  <si>
    <r>
      <t>n</t>
    </r>
    <r>
      <rPr>
        <sz val="7"/>
        <rFont val="Times New Roman"/>
        <family val="1"/>
      </rPr>
      <t xml:space="preserve"> </t>
    </r>
    <r>
      <rPr>
        <sz val="12"/>
        <rFont val="標楷體"/>
        <family val="4"/>
        <charset val="136"/>
      </rPr>
      <t>組織</t>
    </r>
    <r>
      <rPr>
        <b/>
        <sz val="12"/>
        <rFont val="標楷體"/>
        <family val="4"/>
        <charset val="136"/>
      </rPr>
      <t>需立即採取補救措施</t>
    </r>
  </si>
  <si>
    <r>
      <t>n</t>
    </r>
    <r>
      <rPr>
        <sz val="7"/>
        <rFont val="Times New Roman"/>
        <family val="1"/>
      </rPr>
      <t xml:space="preserve"> </t>
    </r>
    <r>
      <rPr>
        <sz val="12"/>
        <rFont val="標楷體"/>
        <family val="4"/>
        <charset val="136"/>
      </rPr>
      <t>需立即通報</t>
    </r>
    <r>
      <rPr>
        <b/>
        <sz val="12"/>
        <rFont val="標楷體"/>
        <family val="4"/>
        <charset val="136"/>
      </rPr>
      <t>主管機關、警政單位或權責主管</t>
    </r>
    <r>
      <rPr>
        <b/>
        <sz val="12"/>
        <rFont val="Times New Roman"/>
        <family val="1"/>
      </rPr>
      <t>(</t>
    </r>
    <r>
      <rPr>
        <b/>
        <sz val="12"/>
        <rFont val="標楷體"/>
        <family val="4"/>
        <charset val="136"/>
      </rPr>
      <t>代理人</t>
    </r>
    <r>
      <rPr>
        <b/>
        <sz val="12"/>
        <rFont val="Times New Roman"/>
        <family val="1"/>
      </rPr>
      <t>)</t>
    </r>
    <r>
      <rPr>
        <b/>
        <sz val="12"/>
        <rFont val="標楷體"/>
        <family val="4"/>
        <charset val="136"/>
      </rPr>
      <t>，</t>
    </r>
    <r>
      <rPr>
        <sz val="12"/>
        <rFont val="標楷體"/>
        <family val="4"/>
        <charset val="136"/>
      </rPr>
      <t>並啟動應變機制</t>
    </r>
  </si>
  <si>
    <r>
      <t>n</t>
    </r>
    <r>
      <rPr>
        <sz val="7"/>
        <rFont val="Times New Roman"/>
        <family val="1"/>
      </rPr>
      <t xml:space="preserve"> </t>
    </r>
    <r>
      <rPr>
        <sz val="12"/>
        <rFont val="標楷體"/>
        <family val="4"/>
        <charset val="136"/>
      </rPr>
      <t>資訊、資料存取權限須經由</t>
    </r>
    <r>
      <rPr>
        <b/>
        <sz val="12"/>
        <rFont val="標楷體"/>
        <family val="4"/>
        <charset val="136"/>
      </rPr>
      <t>權責主管或代理人</t>
    </r>
    <r>
      <rPr>
        <sz val="12"/>
        <rFont val="標楷體"/>
        <family val="4"/>
        <charset val="136"/>
      </rPr>
      <t>核准同意者</t>
    </r>
  </si>
  <si>
    <r>
      <t>n</t>
    </r>
    <r>
      <rPr>
        <sz val="7"/>
        <rFont val="Times New Roman"/>
        <family val="1"/>
      </rPr>
      <t xml:space="preserve"> </t>
    </r>
    <r>
      <rPr>
        <sz val="12"/>
        <rFont val="標楷體"/>
        <family val="4"/>
        <charset val="136"/>
      </rPr>
      <t>可對應至文件分級或資訊資產分級之</t>
    </r>
    <r>
      <rPr>
        <sz val="12"/>
        <rFont val="Times New Roman"/>
        <family val="1"/>
      </rPr>
      <t>"</t>
    </r>
    <r>
      <rPr>
        <b/>
        <sz val="12"/>
        <rFont val="標楷體"/>
        <family val="4"/>
        <charset val="136"/>
      </rPr>
      <t>密</t>
    </r>
    <r>
      <rPr>
        <sz val="12"/>
        <rFont val="Times New Roman"/>
        <family val="1"/>
      </rPr>
      <t>"</t>
    </r>
    <r>
      <rPr>
        <sz val="12"/>
        <rFont val="標楷體"/>
        <family val="4"/>
        <charset val="136"/>
      </rPr>
      <t>等級</t>
    </r>
  </si>
  <si>
    <r>
      <t>n</t>
    </r>
    <r>
      <rPr>
        <sz val="7"/>
        <rFont val="Times New Roman"/>
        <family val="1"/>
      </rPr>
      <t xml:space="preserve"> </t>
    </r>
    <r>
      <rPr>
        <sz val="12"/>
        <rFont val="標楷體"/>
        <family val="4"/>
        <charset val="136"/>
      </rPr>
      <t>資產內資料若不完整，將導致</t>
    </r>
    <r>
      <rPr>
        <b/>
        <sz val="12"/>
        <rFont val="標楷體"/>
        <family val="4"/>
        <charset val="136"/>
      </rPr>
      <t>組織部分作業受影響</t>
    </r>
  </si>
  <si>
    <r>
      <t>n</t>
    </r>
    <r>
      <rPr>
        <sz val="7"/>
        <rFont val="Times New Roman"/>
        <family val="1"/>
      </rPr>
      <t xml:space="preserve"> </t>
    </r>
    <r>
      <rPr>
        <sz val="12"/>
        <rFont val="標楷體"/>
        <family val="4"/>
        <charset val="136"/>
      </rPr>
      <t>作業</t>
    </r>
    <r>
      <rPr>
        <b/>
        <sz val="12"/>
        <rFont val="標楷體"/>
        <family val="4"/>
        <charset val="136"/>
      </rPr>
      <t>高度仰賴</t>
    </r>
    <r>
      <rPr>
        <sz val="12"/>
        <rFont val="標楷體"/>
        <family val="4"/>
        <charset val="136"/>
      </rPr>
      <t>資訊資產，且一旦資訊遺失或損毀時將</t>
    </r>
    <r>
      <rPr>
        <b/>
        <sz val="12"/>
        <rFont val="標楷體"/>
        <family val="4"/>
        <charset val="136"/>
      </rPr>
      <t>影響組織內跨部門</t>
    </r>
    <r>
      <rPr>
        <sz val="12"/>
        <rFont val="標楷體"/>
        <family val="4"/>
        <charset val="136"/>
      </rPr>
      <t>作業</t>
    </r>
  </si>
  <si>
    <r>
      <t>n</t>
    </r>
    <r>
      <rPr>
        <sz val="7"/>
        <rFont val="Times New Roman"/>
        <family val="1"/>
      </rPr>
      <t xml:space="preserve"> </t>
    </r>
    <r>
      <rPr>
        <sz val="12"/>
        <rFont val="標楷體"/>
        <family val="4"/>
        <charset val="136"/>
      </rPr>
      <t>資料內容若洩漏會</t>
    </r>
    <r>
      <rPr>
        <b/>
        <sz val="12"/>
        <rFont val="標楷體"/>
        <family val="4"/>
        <charset val="136"/>
      </rPr>
      <t>影響組織聲譽及客戶權益</t>
    </r>
  </si>
  <si>
    <r>
      <t>n</t>
    </r>
    <r>
      <rPr>
        <sz val="7"/>
        <rFont val="Times New Roman"/>
        <family val="1"/>
      </rPr>
      <t xml:space="preserve"> </t>
    </r>
    <r>
      <rPr>
        <sz val="12"/>
        <rFont val="標楷體"/>
        <family val="4"/>
        <charset val="136"/>
      </rPr>
      <t>造成</t>
    </r>
    <r>
      <rPr>
        <b/>
        <sz val="12"/>
        <rFont val="標楷體"/>
        <family val="4"/>
        <charset val="136"/>
      </rPr>
      <t>少數客戶</t>
    </r>
    <r>
      <rPr>
        <sz val="12"/>
        <rFont val="標楷體"/>
        <family val="4"/>
        <charset val="136"/>
      </rPr>
      <t>權益受損</t>
    </r>
  </si>
  <si>
    <r>
      <t>n</t>
    </r>
    <r>
      <rPr>
        <sz val="7"/>
        <rFont val="Times New Roman"/>
        <family val="1"/>
      </rPr>
      <t xml:space="preserve"> </t>
    </r>
    <r>
      <rPr>
        <sz val="12"/>
        <rFont val="標楷體"/>
        <family val="4"/>
        <charset val="136"/>
      </rPr>
      <t>組織</t>
    </r>
    <r>
      <rPr>
        <b/>
        <sz val="12"/>
        <rFont val="標楷體"/>
        <family val="4"/>
        <charset val="136"/>
      </rPr>
      <t>需採取補救措施</t>
    </r>
  </si>
  <si>
    <r>
      <t>n</t>
    </r>
    <r>
      <rPr>
        <sz val="7"/>
        <rFont val="Times New Roman"/>
        <family val="1"/>
      </rPr>
      <t xml:space="preserve"> </t>
    </r>
    <r>
      <rPr>
        <sz val="12"/>
        <rFont val="標楷體"/>
        <family val="4"/>
        <charset val="136"/>
      </rPr>
      <t>需通報</t>
    </r>
    <r>
      <rPr>
        <b/>
        <sz val="12"/>
        <rFont val="標楷體"/>
        <family val="4"/>
        <charset val="136"/>
      </rPr>
      <t>權責主管或代理人</t>
    </r>
    <r>
      <rPr>
        <sz val="12"/>
        <rFont val="標楷體"/>
        <family val="4"/>
        <charset val="136"/>
      </rPr>
      <t>，並採取補救措施</t>
    </r>
  </si>
  <si>
    <r>
      <t>n</t>
    </r>
    <r>
      <rPr>
        <sz val="7"/>
        <rFont val="Times New Roman"/>
        <family val="1"/>
      </rPr>
      <t xml:space="preserve"> </t>
    </r>
    <r>
      <rPr>
        <sz val="12"/>
        <rFont val="標楷體"/>
        <family val="4"/>
        <charset val="136"/>
      </rPr>
      <t>資產內資料僅供</t>
    </r>
    <r>
      <rPr>
        <b/>
        <sz val="12"/>
        <rFont val="標楷體"/>
        <family val="4"/>
        <charset val="136"/>
      </rPr>
      <t>內部使用</t>
    </r>
  </si>
  <si>
    <r>
      <t>n</t>
    </r>
    <r>
      <rPr>
        <sz val="7"/>
        <rFont val="Times New Roman"/>
        <family val="1"/>
      </rPr>
      <t xml:space="preserve"> </t>
    </r>
    <r>
      <rPr>
        <sz val="12"/>
        <rFont val="標楷體"/>
        <family val="4"/>
        <charset val="136"/>
      </rPr>
      <t>資產內資料若不完整，將造成</t>
    </r>
    <r>
      <rPr>
        <b/>
        <sz val="12"/>
        <rFont val="標楷體"/>
        <family val="4"/>
        <charset val="136"/>
      </rPr>
      <t>部門作業受影響</t>
    </r>
  </si>
  <si>
    <r>
      <t>n</t>
    </r>
    <r>
      <rPr>
        <sz val="7"/>
        <rFont val="Times New Roman"/>
        <family val="1"/>
      </rPr>
      <t xml:space="preserve"> </t>
    </r>
    <r>
      <rPr>
        <sz val="12"/>
        <rFont val="標楷體"/>
        <family val="4"/>
        <charset val="136"/>
      </rPr>
      <t>作業</t>
    </r>
    <r>
      <rPr>
        <b/>
        <sz val="12"/>
        <rFont val="標楷體"/>
        <family val="4"/>
        <charset val="136"/>
      </rPr>
      <t>仰賴</t>
    </r>
    <r>
      <rPr>
        <sz val="12"/>
        <rFont val="標楷體"/>
        <family val="4"/>
        <charset val="136"/>
      </rPr>
      <t>資訊資產，且一旦資訊遺失或損毀時將</t>
    </r>
    <r>
      <rPr>
        <b/>
        <sz val="12"/>
        <rFont val="標楷體"/>
        <family val="4"/>
        <charset val="136"/>
      </rPr>
      <t>影響部門作業</t>
    </r>
  </si>
  <si>
    <t>中</t>
  </si>
  <si>
    <r>
      <t>n</t>
    </r>
    <r>
      <rPr>
        <sz val="7"/>
        <rFont val="Times New Roman"/>
        <family val="1"/>
      </rPr>
      <t xml:space="preserve"> </t>
    </r>
    <r>
      <rPr>
        <sz val="12"/>
        <rFont val="標楷體"/>
        <family val="4"/>
        <charset val="136"/>
      </rPr>
      <t>資料內容若洩漏會對組織造成</t>
    </r>
    <r>
      <rPr>
        <b/>
        <sz val="12"/>
        <rFont val="標楷體"/>
        <family val="4"/>
        <charset val="136"/>
      </rPr>
      <t>有形或無形的損害，</t>
    </r>
    <r>
      <rPr>
        <sz val="12"/>
        <rFont val="標楷體"/>
        <family val="4"/>
        <charset val="136"/>
      </rPr>
      <t>此</t>
    </r>
    <r>
      <rPr>
        <b/>
        <sz val="12"/>
        <rFont val="標楷體"/>
        <family val="4"/>
        <charset val="136"/>
      </rPr>
      <t>損害</t>
    </r>
    <r>
      <rPr>
        <sz val="12"/>
        <rFont val="標楷體"/>
        <family val="4"/>
        <charset val="136"/>
      </rPr>
      <t>為組織</t>
    </r>
    <r>
      <rPr>
        <b/>
        <sz val="12"/>
        <rFont val="標楷體"/>
        <family val="4"/>
        <charset val="136"/>
      </rPr>
      <t>可承受之範圍</t>
    </r>
  </si>
  <si>
    <r>
      <t>n</t>
    </r>
    <r>
      <rPr>
        <sz val="7"/>
        <rFont val="Times New Roman"/>
        <family val="1"/>
      </rPr>
      <t xml:space="preserve"> </t>
    </r>
    <r>
      <rPr>
        <sz val="12"/>
        <rFont val="標楷體"/>
        <family val="4"/>
        <charset val="136"/>
      </rPr>
      <t>造成</t>
    </r>
    <r>
      <rPr>
        <b/>
        <sz val="12"/>
        <rFont val="標楷體"/>
        <family val="4"/>
        <charset val="136"/>
      </rPr>
      <t>個人</t>
    </r>
    <r>
      <rPr>
        <sz val="12"/>
        <rFont val="標楷體"/>
        <family val="4"/>
        <charset val="136"/>
      </rPr>
      <t>權益受損</t>
    </r>
  </si>
  <si>
    <r>
      <t>n</t>
    </r>
    <r>
      <rPr>
        <sz val="7"/>
        <rFont val="Times New Roman"/>
        <family val="1"/>
      </rPr>
      <t xml:space="preserve"> </t>
    </r>
    <r>
      <rPr>
        <sz val="12"/>
        <rFont val="標楷體"/>
        <family val="4"/>
        <charset val="136"/>
      </rPr>
      <t>資訊、資料存取權限須經由</t>
    </r>
    <r>
      <rPr>
        <b/>
        <sz val="12"/>
        <rFont val="標楷體"/>
        <family val="4"/>
        <charset val="136"/>
      </rPr>
      <t>單位主管或代理人</t>
    </r>
    <r>
      <rPr>
        <sz val="12"/>
        <rFont val="標楷體"/>
        <family val="4"/>
        <charset val="136"/>
      </rPr>
      <t>核准同意</t>
    </r>
  </si>
  <si>
    <r>
      <t>n</t>
    </r>
    <r>
      <rPr>
        <sz val="7"/>
        <rFont val="Times New Roman"/>
        <family val="1"/>
      </rPr>
      <t xml:space="preserve"> </t>
    </r>
    <r>
      <rPr>
        <sz val="12"/>
        <rFont val="標楷體"/>
        <family val="4"/>
        <charset val="136"/>
      </rPr>
      <t>需通報</t>
    </r>
    <r>
      <rPr>
        <b/>
        <sz val="12"/>
        <rFont val="標楷體"/>
        <family val="4"/>
        <charset val="136"/>
      </rPr>
      <t>單位主管或代理人，</t>
    </r>
    <r>
      <rPr>
        <sz val="12"/>
        <rFont val="標楷體"/>
        <family val="4"/>
        <charset val="136"/>
      </rPr>
      <t>損害為組織</t>
    </r>
    <r>
      <rPr>
        <b/>
        <sz val="12"/>
        <rFont val="標楷體"/>
        <family val="4"/>
        <charset val="136"/>
      </rPr>
      <t>可承受之範圍</t>
    </r>
  </si>
  <si>
    <r>
      <t>n</t>
    </r>
    <r>
      <rPr>
        <sz val="7"/>
        <rFont val="Times New Roman"/>
        <family val="1"/>
      </rPr>
      <t xml:space="preserve"> </t>
    </r>
    <r>
      <rPr>
        <sz val="12"/>
        <rFont val="標楷體"/>
        <family val="4"/>
        <charset val="136"/>
      </rPr>
      <t>可對應至文件分級或資訊資產分級之</t>
    </r>
    <r>
      <rPr>
        <sz val="12"/>
        <rFont val="Times New Roman"/>
        <family val="1"/>
      </rPr>
      <t>"</t>
    </r>
    <r>
      <rPr>
        <sz val="12"/>
        <rFont val="標楷體"/>
        <family val="4"/>
        <charset val="136"/>
      </rPr>
      <t>內部使用</t>
    </r>
    <r>
      <rPr>
        <sz val="12"/>
        <rFont val="Times New Roman"/>
        <family val="1"/>
      </rPr>
      <t>"</t>
    </r>
  </si>
  <si>
    <r>
      <t>n</t>
    </r>
    <r>
      <rPr>
        <sz val="7"/>
        <rFont val="Times New Roman"/>
        <family val="1"/>
      </rPr>
      <t xml:space="preserve"> </t>
    </r>
    <r>
      <rPr>
        <sz val="12"/>
        <rFont val="標楷體"/>
        <family val="4"/>
        <charset val="136"/>
      </rPr>
      <t>資產內為</t>
    </r>
    <r>
      <rPr>
        <b/>
        <sz val="12"/>
        <rFont val="標楷體"/>
        <family val="4"/>
        <charset val="136"/>
      </rPr>
      <t>一般性資料，但須遵守相關發佈流程</t>
    </r>
  </si>
  <si>
    <r>
      <t>n</t>
    </r>
    <r>
      <rPr>
        <sz val="7"/>
        <rFont val="Times New Roman"/>
        <family val="1"/>
      </rPr>
      <t xml:space="preserve"> </t>
    </r>
    <r>
      <rPr>
        <sz val="12"/>
        <rFont val="標楷體"/>
        <family val="4"/>
        <charset val="136"/>
      </rPr>
      <t>資產內資料若不完整，將造成</t>
    </r>
    <r>
      <rPr>
        <b/>
        <sz val="12"/>
        <rFont val="標楷體"/>
        <family val="4"/>
        <charset val="136"/>
      </rPr>
      <t>少數或個別承辦人作業受影響</t>
    </r>
  </si>
  <si>
    <r>
      <t>n</t>
    </r>
    <r>
      <rPr>
        <sz val="7"/>
        <rFont val="Times New Roman"/>
        <family val="1"/>
      </rPr>
      <t xml:space="preserve"> </t>
    </r>
    <r>
      <rPr>
        <sz val="12"/>
        <rFont val="標楷體"/>
        <family val="4"/>
        <charset val="136"/>
      </rPr>
      <t>作業</t>
    </r>
    <r>
      <rPr>
        <b/>
        <sz val="12"/>
        <rFont val="標楷體"/>
        <family val="4"/>
        <charset val="136"/>
      </rPr>
      <t>仰賴</t>
    </r>
    <r>
      <rPr>
        <sz val="12"/>
        <rFont val="標楷體"/>
        <family val="4"/>
        <charset val="136"/>
      </rPr>
      <t>資訊資產，且一旦資訊遺失或損毀時將</t>
    </r>
    <r>
      <rPr>
        <b/>
        <sz val="12"/>
        <rFont val="標楷體"/>
        <family val="4"/>
        <charset val="136"/>
      </rPr>
      <t>影響少數承辦人</t>
    </r>
    <r>
      <rPr>
        <sz val="12"/>
        <rFont val="標楷體"/>
        <family val="4"/>
        <charset val="136"/>
      </rPr>
      <t>作業</t>
    </r>
  </si>
  <si>
    <t>低</t>
  </si>
  <si>
    <r>
      <t>n</t>
    </r>
    <r>
      <rPr>
        <sz val="7"/>
        <rFont val="Times New Roman"/>
        <family val="1"/>
      </rPr>
      <t xml:space="preserve"> </t>
    </r>
    <r>
      <rPr>
        <sz val="12"/>
        <rFont val="標楷體"/>
        <family val="4"/>
        <charset val="136"/>
      </rPr>
      <t>若流傳至組織以外，</t>
    </r>
    <r>
      <rPr>
        <b/>
        <sz val="12"/>
        <rFont val="標楷體"/>
        <family val="4"/>
        <charset val="136"/>
      </rPr>
      <t>不會</t>
    </r>
    <r>
      <rPr>
        <sz val="12"/>
        <rFont val="標楷體"/>
        <family val="4"/>
        <charset val="136"/>
      </rPr>
      <t>對組織</t>
    </r>
    <r>
      <rPr>
        <b/>
        <sz val="12"/>
        <rFont val="標楷體"/>
        <family val="4"/>
        <charset val="136"/>
      </rPr>
      <t>造成</t>
    </r>
    <r>
      <rPr>
        <sz val="12"/>
        <rFont val="標楷體"/>
        <family val="4"/>
        <charset val="136"/>
      </rPr>
      <t>任何有形或無形的</t>
    </r>
    <r>
      <rPr>
        <b/>
        <sz val="12"/>
        <rFont val="標楷體"/>
        <family val="4"/>
        <charset val="136"/>
      </rPr>
      <t>傷害</t>
    </r>
    <r>
      <rPr>
        <sz val="12"/>
        <rFont val="Times New Roman"/>
        <family val="1"/>
      </rPr>
      <t>(</t>
    </r>
    <r>
      <rPr>
        <sz val="12"/>
        <rFont val="標楷體"/>
        <family val="4"/>
        <charset val="136"/>
      </rPr>
      <t>註</t>
    </r>
    <r>
      <rPr>
        <sz val="12"/>
        <rFont val="Times New Roman"/>
        <family val="1"/>
      </rPr>
      <t>1)</t>
    </r>
  </si>
  <si>
    <r>
      <t>n</t>
    </r>
    <r>
      <rPr>
        <sz val="7"/>
        <rFont val="Times New Roman"/>
        <family val="1"/>
      </rPr>
      <t xml:space="preserve"> </t>
    </r>
    <r>
      <rPr>
        <sz val="12"/>
        <rFont val="標楷體"/>
        <family val="4"/>
        <charset val="136"/>
      </rPr>
      <t>不對服務對象造成影響，最多是承辦人</t>
    </r>
    <r>
      <rPr>
        <b/>
        <sz val="12"/>
        <rFont val="標楷體"/>
        <family val="4"/>
        <charset val="136"/>
      </rPr>
      <t>重覆作業工作</t>
    </r>
  </si>
  <si>
    <r>
      <t>n</t>
    </r>
    <r>
      <rPr>
        <sz val="7"/>
        <rFont val="Times New Roman"/>
        <family val="1"/>
      </rPr>
      <t xml:space="preserve"> </t>
    </r>
    <r>
      <rPr>
        <sz val="12"/>
        <rFont val="標楷體"/>
        <family val="4"/>
        <charset val="136"/>
      </rPr>
      <t>資訊、資料存取權限只須經由</t>
    </r>
    <r>
      <rPr>
        <b/>
        <sz val="12"/>
        <rFont val="標楷體"/>
        <family val="4"/>
        <charset val="136"/>
      </rPr>
      <t>資產管理者或承辦人</t>
    </r>
    <r>
      <rPr>
        <sz val="12"/>
        <rFont val="標楷體"/>
        <family val="4"/>
        <charset val="136"/>
      </rPr>
      <t>同意者</t>
    </r>
  </si>
  <si>
    <r>
      <t>n</t>
    </r>
    <r>
      <rPr>
        <sz val="7"/>
        <rFont val="Times New Roman"/>
        <family val="1"/>
      </rPr>
      <t xml:space="preserve"> </t>
    </r>
    <r>
      <rPr>
        <sz val="12"/>
        <rFont val="標楷體"/>
        <family val="4"/>
        <charset val="136"/>
      </rPr>
      <t>不需通報，</t>
    </r>
    <r>
      <rPr>
        <b/>
        <sz val="12"/>
        <rFont val="標楷體"/>
        <family val="4"/>
        <charset val="136"/>
      </rPr>
      <t>資產管理者或承辦人</t>
    </r>
    <r>
      <rPr>
        <sz val="12"/>
        <rFont val="標楷體"/>
        <family val="4"/>
        <charset val="136"/>
      </rPr>
      <t>可自行處理</t>
    </r>
  </si>
  <si>
    <r>
      <t>n</t>
    </r>
    <r>
      <rPr>
        <sz val="7"/>
        <rFont val="Times New Roman"/>
        <family val="1"/>
      </rPr>
      <t xml:space="preserve"> </t>
    </r>
    <r>
      <rPr>
        <sz val="12"/>
        <rFont val="標楷體"/>
        <family val="4"/>
        <charset val="136"/>
      </rPr>
      <t>可對應至文件分級或資訊資產分級之</t>
    </r>
    <r>
      <rPr>
        <sz val="12"/>
        <rFont val="Times New Roman"/>
        <family val="1"/>
      </rPr>
      <t>"</t>
    </r>
    <r>
      <rPr>
        <b/>
        <sz val="12"/>
        <rFont val="標楷體"/>
        <family val="4"/>
        <charset val="136"/>
      </rPr>
      <t>公開資訊</t>
    </r>
    <r>
      <rPr>
        <sz val="12"/>
        <rFont val="Times New Roman"/>
        <family val="1"/>
      </rPr>
      <t>"</t>
    </r>
    <r>
      <rPr>
        <sz val="12"/>
        <rFont val="標楷體"/>
        <family val="4"/>
        <charset val="136"/>
      </rPr>
      <t>等級</t>
    </r>
  </si>
  <si>
    <r>
      <t>註</t>
    </r>
    <r>
      <rPr>
        <sz val="12"/>
        <rFont val="Times New Roman"/>
        <family val="1"/>
      </rPr>
      <t>1</t>
    </r>
    <r>
      <rPr>
        <sz val="12"/>
        <rFont val="標楷體"/>
        <family val="4"/>
        <charset val="136"/>
      </rPr>
      <t>：有形的傷害如：財務上的賠償、主管機關的懲處；</t>
    </r>
  </si>
  <si>
    <t>無形的傷害如：形象上的受損、組織內部員工士氣的低落。</t>
  </si>
  <si>
    <r>
      <t>硬體類、建築與保護類及服務類資</t>
    </r>
    <r>
      <rPr>
        <b/>
        <sz val="12"/>
        <color rgb="FF000000"/>
        <rFont val="標楷體"/>
        <family val="4"/>
        <charset val="136"/>
      </rPr>
      <t>訊資產價值評分標準</t>
    </r>
  </si>
  <si>
    <r>
      <t>n</t>
    </r>
    <r>
      <rPr>
        <sz val="7"/>
        <rFont val="Times New Roman"/>
        <family val="1"/>
      </rPr>
      <t xml:space="preserve"> </t>
    </r>
    <r>
      <rPr>
        <sz val="12"/>
        <rFont val="標楷體"/>
        <family val="4"/>
        <charset val="136"/>
      </rPr>
      <t>不適用</t>
    </r>
  </si>
  <si>
    <r>
      <t>n</t>
    </r>
    <r>
      <rPr>
        <sz val="7"/>
        <rFont val="Times New Roman"/>
        <family val="1"/>
      </rPr>
      <t xml:space="preserve"> </t>
    </r>
    <r>
      <rPr>
        <sz val="12"/>
        <rFont val="標楷體"/>
        <family val="4"/>
        <charset val="136"/>
      </rPr>
      <t>可忍受服務中斷時間：</t>
    </r>
    <r>
      <rPr>
        <b/>
        <sz val="12"/>
        <rFont val="Times New Roman"/>
        <family val="1"/>
      </rPr>
      <t>12</t>
    </r>
    <r>
      <rPr>
        <b/>
        <sz val="12"/>
        <rFont val="標楷體"/>
        <family val="4"/>
        <charset val="136"/>
      </rPr>
      <t>小時內</t>
    </r>
  </si>
  <si>
    <r>
      <t>n</t>
    </r>
    <r>
      <rPr>
        <sz val="7"/>
        <rFont val="Times New Roman"/>
        <family val="1"/>
      </rPr>
      <t xml:space="preserve"> </t>
    </r>
    <r>
      <rPr>
        <sz val="12"/>
        <rFont val="標楷體"/>
        <family val="4"/>
        <charset val="136"/>
      </rPr>
      <t>作業</t>
    </r>
    <r>
      <rPr>
        <b/>
        <sz val="12"/>
        <rFont val="標楷體"/>
        <family val="4"/>
        <charset val="136"/>
      </rPr>
      <t>完全仰賴</t>
    </r>
    <r>
      <rPr>
        <sz val="12"/>
        <rFont val="標楷體"/>
        <family val="4"/>
        <charset val="136"/>
      </rPr>
      <t>資訊資產，且一旦服務中斷時將</t>
    </r>
    <r>
      <rPr>
        <b/>
        <sz val="12"/>
        <rFont val="標楷體"/>
        <family val="4"/>
        <charset val="136"/>
      </rPr>
      <t>影響全組織</t>
    </r>
    <r>
      <rPr>
        <sz val="12"/>
        <rFont val="標楷體"/>
        <family val="4"/>
        <charset val="136"/>
      </rPr>
      <t>對外提供服務作業</t>
    </r>
  </si>
  <si>
    <r>
      <t>n</t>
    </r>
    <r>
      <rPr>
        <sz val="7"/>
        <rFont val="Times New Roman"/>
        <family val="1"/>
      </rPr>
      <t xml:space="preserve"> </t>
    </r>
    <r>
      <rPr>
        <sz val="12"/>
        <rFont val="標楷體"/>
        <family val="4"/>
        <charset val="136"/>
      </rPr>
      <t>可忍受服務中斷時間：</t>
    </r>
    <r>
      <rPr>
        <b/>
        <sz val="12"/>
        <rFont val="Times New Roman"/>
        <family val="1"/>
      </rPr>
      <t>12~24</t>
    </r>
    <r>
      <rPr>
        <b/>
        <sz val="12"/>
        <rFont val="標楷體"/>
        <family val="4"/>
        <charset val="136"/>
      </rPr>
      <t>小時</t>
    </r>
  </si>
  <si>
    <r>
      <t>n</t>
    </r>
    <r>
      <rPr>
        <sz val="7"/>
        <rFont val="Times New Roman"/>
        <family val="1"/>
      </rPr>
      <t xml:space="preserve"> </t>
    </r>
    <r>
      <rPr>
        <sz val="12"/>
        <rFont val="標楷體"/>
        <family val="4"/>
        <charset val="136"/>
      </rPr>
      <t>作業</t>
    </r>
    <r>
      <rPr>
        <b/>
        <sz val="12"/>
        <rFont val="標楷體"/>
        <family val="4"/>
        <charset val="136"/>
      </rPr>
      <t>高度仰賴</t>
    </r>
    <r>
      <rPr>
        <sz val="12"/>
        <rFont val="標楷體"/>
        <family val="4"/>
        <charset val="136"/>
      </rPr>
      <t>資訊資產，且一旦服務中斷時將</t>
    </r>
    <r>
      <rPr>
        <b/>
        <sz val="12"/>
        <rFont val="標楷體"/>
        <family val="4"/>
        <charset val="136"/>
      </rPr>
      <t>影響組織內跨部門</t>
    </r>
    <r>
      <rPr>
        <sz val="12"/>
        <rFont val="標楷體"/>
        <family val="4"/>
        <charset val="136"/>
      </rPr>
      <t>作業</t>
    </r>
  </si>
  <si>
    <r>
      <t>n</t>
    </r>
    <r>
      <rPr>
        <sz val="7"/>
        <rFont val="Times New Roman"/>
        <family val="1"/>
      </rPr>
      <t xml:space="preserve"> </t>
    </r>
    <r>
      <rPr>
        <sz val="12"/>
        <rFont val="標楷體"/>
        <family val="4"/>
        <charset val="136"/>
      </rPr>
      <t>可忍受服務中斷時間：</t>
    </r>
    <r>
      <rPr>
        <b/>
        <sz val="12"/>
        <rFont val="Times New Roman"/>
        <family val="1"/>
      </rPr>
      <t>24~48</t>
    </r>
    <r>
      <rPr>
        <b/>
        <sz val="12"/>
        <rFont val="標楷體"/>
        <family val="4"/>
        <charset val="136"/>
      </rPr>
      <t>小時</t>
    </r>
  </si>
  <si>
    <r>
      <t>n</t>
    </r>
    <r>
      <rPr>
        <sz val="7"/>
        <rFont val="Times New Roman"/>
        <family val="1"/>
      </rPr>
      <t xml:space="preserve"> </t>
    </r>
    <r>
      <rPr>
        <sz val="12"/>
        <rFont val="標楷體"/>
        <family val="4"/>
        <charset val="136"/>
      </rPr>
      <t>作業</t>
    </r>
    <r>
      <rPr>
        <b/>
        <sz val="12"/>
        <rFont val="標楷體"/>
        <family val="4"/>
        <charset val="136"/>
      </rPr>
      <t>仰賴</t>
    </r>
    <r>
      <rPr>
        <sz val="12"/>
        <rFont val="標楷體"/>
        <family val="4"/>
        <charset val="136"/>
      </rPr>
      <t>資訊資產，且一旦服務中斷時將</t>
    </r>
    <r>
      <rPr>
        <b/>
        <sz val="12"/>
        <rFont val="標楷體"/>
        <family val="4"/>
        <charset val="136"/>
      </rPr>
      <t>影響部門作業</t>
    </r>
  </si>
  <si>
    <r>
      <t>n</t>
    </r>
    <r>
      <rPr>
        <sz val="7"/>
        <rFont val="Times New Roman"/>
        <family val="1"/>
      </rPr>
      <t xml:space="preserve"> </t>
    </r>
    <r>
      <rPr>
        <sz val="12"/>
        <rFont val="標楷體"/>
        <family val="4"/>
        <charset val="136"/>
      </rPr>
      <t>實體及服務類之機密性皆屬此一等級</t>
    </r>
  </si>
  <si>
    <r>
      <t>n</t>
    </r>
    <r>
      <rPr>
        <sz val="7"/>
        <rFont val="Times New Roman"/>
        <family val="1"/>
      </rPr>
      <t xml:space="preserve"> </t>
    </r>
    <r>
      <rPr>
        <sz val="12"/>
        <rFont val="標楷體"/>
        <family val="4"/>
        <charset val="136"/>
      </rPr>
      <t>實體及服務類之完整性皆屬此一等級</t>
    </r>
  </si>
  <si>
    <r>
      <t>n</t>
    </r>
    <r>
      <rPr>
        <sz val="7"/>
        <rFont val="Times New Roman"/>
        <family val="1"/>
      </rPr>
      <t xml:space="preserve"> </t>
    </r>
    <r>
      <rPr>
        <sz val="12"/>
        <rFont val="標楷體"/>
        <family val="4"/>
        <charset val="136"/>
      </rPr>
      <t>可忍受服務中斷時間：</t>
    </r>
    <r>
      <rPr>
        <b/>
        <sz val="12"/>
        <rFont val="Times New Roman"/>
        <family val="1"/>
      </rPr>
      <t>48</t>
    </r>
    <r>
      <rPr>
        <b/>
        <sz val="12"/>
        <rFont val="標楷體"/>
        <family val="4"/>
        <charset val="136"/>
      </rPr>
      <t>小時以上</t>
    </r>
  </si>
  <si>
    <r>
      <t>n</t>
    </r>
    <r>
      <rPr>
        <sz val="7"/>
        <rFont val="Times New Roman"/>
        <family val="1"/>
      </rPr>
      <t xml:space="preserve"> </t>
    </r>
    <r>
      <rPr>
        <sz val="12"/>
        <rFont val="標楷體"/>
        <family val="4"/>
        <charset val="136"/>
      </rPr>
      <t>作業</t>
    </r>
    <r>
      <rPr>
        <b/>
        <sz val="12"/>
        <rFont val="標楷體"/>
        <family val="4"/>
        <charset val="136"/>
      </rPr>
      <t>仰賴</t>
    </r>
    <r>
      <rPr>
        <sz val="12"/>
        <rFont val="標楷體"/>
        <family val="4"/>
        <charset val="136"/>
      </rPr>
      <t>資訊資產，且一旦服務中斷時將</t>
    </r>
    <r>
      <rPr>
        <b/>
        <sz val="12"/>
        <rFont val="標楷體"/>
        <family val="4"/>
        <charset val="136"/>
      </rPr>
      <t>影響少數承辦人</t>
    </r>
    <r>
      <rPr>
        <sz val="12"/>
        <rFont val="標楷體"/>
        <family val="4"/>
        <charset val="136"/>
      </rPr>
      <t>作業</t>
    </r>
  </si>
  <si>
    <t>軟體類資訊資產價值評分標準</t>
  </si>
  <si>
    <r>
      <t>n</t>
    </r>
    <r>
      <rPr>
        <sz val="7"/>
        <rFont val="Times New Roman"/>
        <family val="1"/>
      </rPr>
      <t xml:space="preserve"> </t>
    </r>
    <r>
      <rPr>
        <sz val="12"/>
        <rFont val="標楷體"/>
        <family val="4"/>
        <charset val="136"/>
      </rPr>
      <t>軟體</t>
    </r>
    <r>
      <rPr>
        <sz val="12"/>
        <rFont val="Times New Roman"/>
        <family val="1"/>
      </rPr>
      <t>/</t>
    </r>
    <r>
      <rPr>
        <sz val="12"/>
        <rFont val="標楷體"/>
        <family val="4"/>
        <charset val="136"/>
      </rPr>
      <t>程式邏輯若洩漏會</t>
    </r>
    <r>
      <rPr>
        <b/>
        <sz val="12"/>
        <rFont val="標楷體"/>
        <family val="4"/>
        <charset val="136"/>
      </rPr>
      <t>影響組織重大權益</t>
    </r>
  </si>
  <si>
    <r>
      <t>n</t>
    </r>
    <r>
      <rPr>
        <sz val="7"/>
        <rFont val="Times New Roman"/>
        <family val="1"/>
      </rPr>
      <t xml:space="preserve"> </t>
    </r>
    <r>
      <rPr>
        <sz val="12"/>
        <rFont val="標楷體"/>
        <family val="4"/>
        <charset val="136"/>
      </rPr>
      <t>軟體若不完整，將導致</t>
    </r>
    <r>
      <rPr>
        <b/>
        <sz val="12"/>
        <rFont val="標楷體"/>
        <family val="4"/>
        <charset val="136"/>
      </rPr>
      <t>全組織作業受創</t>
    </r>
  </si>
  <si>
    <r>
      <t>n</t>
    </r>
    <r>
      <rPr>
        <sz val="7"/>
        <rFont val="Times New Roman"/>
        <family val="1"/>
      </rPr>
      <t xml:space="preserve"> </t>
    </r>
    <r>
      <rPr>
        <sz val="12"/>
        <rFont val="標楷體"/>
        <family val="4"/>
        <charset val="136"/>
      </rPr>
      <t>可忍受服務中斷時間：</t>
    </r>
    <r>
      <rPr>
        <b/>
        <sz val="12"/>
        <rFont val="Times New Roman"/>
        <family val="1"/>
      </rPr>
      <t>5</t>
    </r>
    <r>
      <rPr>
        <b/>
        <sz val="12"/>
        <rFont val="標楷體"/>
        <family val="4"/>
        <charset val="136"/>
      </rPr>
      <t>分鐘內</t>
    </r>
  </si>
  <si>
    <r>
      <t>n</t>
    </r>
    <r>
      <rPr>
        <sz val="7"/>
        <rFont val="Times New Roman"/>
        <family val="1"/>
      </rPr>
      <t xml:space="preserve"> </t>
    </r>
    <r>
      <rPr>
        <sz val="12"/>
        <rFont val="標楷體"/>
        <family val="4"/>
        <charset val="136"/>
      </rPr>
      <t>若遭有心人士所用將</t>
    </r>
    <r>
      <rPr>
        <b/>
        <sz val="12"/>
        <rFont val="標楷體"/>
        <family val="4"/>
        <charset val="136"/>
      </rPr>
      <t>造成組織財務極大損失</t>
    </r>
  </si>
  <si>
    <r>
      <t>n</t>
    </r>
    <r>
      <rPr>
        <sz val="7"/>
        <rFont val="Times New Roman"/>
        <family val="1"/>
      </rPr>
      <t xml:space="preserve"> </t>
    </r>
    <r>
      <rPr>
        <b/>
        <sz val="12"/>
        <rFont val="標楷體"/>
        <family val="4"/>
        <charset val="136"/>
      </rPr>
      <t>影響大多數使用者權益</t>
    </r>
    <r>
      <rPr>
        <sz val="12"/>
        <rFont val="標楷體"/>
        <family val="4"/>
        <charset val="136"/>
      </rPr>
      <t>。</t>
    </r>
  </si>
  <si>
    <r>
      <t>n</t>
    </r>
    <r>
      <rPr>
        <sz val="7"/>
        <rFont val="Times New Roman"/>
        <family val="1"/>
      </rPr>
      <t xml:space="preserve"> </t>
    </r>
    <r>
      <rPr>
        <sz val="12"/>
        <rFont val="標楷體"/>
        <family val="4"/>
        <charset val="136"/>
      </rPr>
      <t>需立即通報</t>
    </r>
    <r>
      <rPr>
        <b/>
        <sz val="12"/>
        <rFont val="標楷體"/>
        <family val="4"/>
        <charset val="136"/>
      </rPr>
      <t>主管機關、權責主管</t>
    </r>
    <r>
      <rPr>
        <b/>
        <sz val="12"/>
        <rFont val="Times New Roman"/>
        <family val="1"/>
      </rPr>
      <t>(</t>
    </r>
    <r>
      <rPr>
        <b/>
        <sz val="12"/>
        <rFont val="標楷體"/>
        <family val="4"/>
        <charset val="136"/>
      </rPr>
      <t>代理人</t>
    </r>
    <r>
      <rPr>
        <b/>
        <sz val="12"/>
        <rFont val="Times New Roman"/>
        <family val="1"/>
      </rPr>
      <t>)</t>
    </r>
    <r>
      <rPr>
        <b/>
        <sz val="12"/>
        <rFont val="標楷體"/>
        <family val="4"/>
        <charset val="136"/>
      </rPr>
      <t>，</t>
    </r>
    <r>
      <rPr>
        <sz val="12"/>
        <rFont val="標楷體"/>
        <family val="4"/>
        <charset val="136"/>
      </rPr>
      <t>並啟動應變機制</t>
    </r>
  </si>
  <si>
    <r>
      <t>n</t>
    </r>
    <r>
      <rPr>
        <sz val="7"/>
        <rFont val="Times New Roman"/>
        <family val="1"/>
      </rPr>
      <t xml:space="preserve"> </t>
    </r>
    <r>
      <rPr>
        <sz val="12"/>
        <rFont val="標楷體"/>
        <family val="4"/>
        <charset val="136"/>
      </rPr>
      <t>軟體</t>
    </r>
    <r>
      <rPr>
        <sz val="12"/>
        <rFont val="Times New Roman"/>
        <family val="1"/>
      </rPr>
      <t>/</t>
    </r>
    <r>
      <rPr>
        <sz val="12"/>
        <rFont val="標楷體"/>
        <family val="4"/>
        <charset val="136"/>
      </rPr>
      <t>程式邏輯若洩漏會</t>
    </r>
    <r>
      <rPr>
        <b/>
        <sz val="12"/>
        <rFont val="標楷體"/>
        <family val="4"/>
        <charset val="136"/>
      </rPr>
      <t>影響組織財務部分權益</t>
    </r>
  </si>
  <si>
    <r>
      <t>n</t>
    </r>
    <r>
      <rPr>
        <sz val="7"/>
        <rFont val="Times New Roman"/>
        <family val="1"/>
      </rPr>
      <t xml:space="preserve"> </t>
    </r>
    <r>
      <rPr>
        <sz val="12"/>
        <rFont val="標楷體"/>
        <family val="4"/>
        <charset val="136"/>
      </rPr>
      <t>軟體若不完整，將導致</t>
    </r>
    <r>
      <rPr>
        <b/>
        <sz val="12"/>
        <rFont val="標楷體"/>
        <family val="4"/>
        <charset val="136"/>
      </rPr>
      <t>組織部分作業受影響</t>
    </r>
  </si>
  <si>
    <r>
      <t>n</t>
    </r>
    <r>
      <rPr>
        <sz val="7"/>
        <rFont val="Times New Roman"/>
        <family val="1"/>
      </rPr>
      <t xml:space="preserve"> </t>
    </r>
    <r>
      <rPr>
        <sz val="12"/>
        <rFont val="標楷體"/>
        <family val="4"/>
        <charset val="136"/>
      </rPr>
      <t>可忍受服務中斷時間：</t>
    </r>
    <r>
      <rPr>
        <b/>
        <sz val="12"/>
        <rFont val="Times New Roman"/>
        <family val="1"/>
      </rPr>
      <t>5</t>
    </r>
    <r>
      <rPr>
        <b/>
        <sz val="12"/>
        <rFont val="標楷體"/>
        <family val="4"/>
        <charset val="136"/>
      </rPr>
      <t>分鐘以上</t>
    </r>
    <r>
      <rPr>
        <b/>
        <sz val="12"/>
        <rFont val="Times New Roman"/>
        <family val="1"/>
      </rPr>
      <t xml:space="preserve"> ~1</t>
    </r>
    <r>
      <rPr>
        <b/>
        <sz val="12"/>
        <rFont val="標楷體"/>
        <family val="4"/>
        <charset val="136"/>
      </rPr>
      <t>小時</t>
    </r>
  </si>
  <si>
    <r>
      <t>n</t>
    </r>
    <r>
      <rPr>
        <sz val="7"/>
        <rFont val="Times New Roman"/>
        <family val="1"/>
      </rPr>
      <t xml:space="preserve"> </t>
    </r>
    <r>
      <rPr>
        <sz val="12"/>
        <rFont val="標楷體"/>
        <family val="4"/>
        <charset val="136"/>
      </rPr>
      <t>若遭有心人士所用將</t>
    </r>
    <r>
      <rPr>
        <b/>
        <sz val="12"/>
        <rFont val="標楷體"/>
        <family val="4"/>
        <charset val="136"/>
      </rPr>
      <t>造成財務損失</t>
    </r>
  </si>
  <si>
    <r>
      <t>n</t>
    </r>
    <r>
      <rPr>
        <sz val="7"/>
        <rFont val="Times New Roman"/>
        <family val="1"/>
      </rPr>
      <t xml:space="preserve"> </t>
    </r>
    <r>
      <rPr>
        <sz val="12"/>
        <rFont val="標楷體"/>
        <family val="4"/>
        <charset val="136"/>
      </rPr>
      <t>造成</t>
    </r>
    <r>
      <rPr>
        <b/>
        <sz val="12"/>
        <rFont val="標楷體"/>
        <family val="4"/>
        <charset val="136"/>
      </rPr>
      <t>少數使用者</t>
    </r>
    <r>
      <rPr>
        <sz val="12"/>
        <rFont val="標楷體"/>
        <family val="4"/>
        <charset val="136"/>
      </rPr>
      <t>權益受損</t>
    </r>
  </si>
  <si>
    <r>
      <t>n</t>
    </r>
    <r>
      <rPr>
        <sz val="7"/>
        <rFont val="Times New Roman"/>
        <family val="1"/>
      </rPr>
      <t xml:space="preserve"> </t>
    </r>
    <r>
      <rPr>
        <sz val="12"/>
        <rFont val="標楷體"/>
        <family val="4"/>
        <charset val="136"/>
      </rPr>
      <t>軟體</t>
    </r>
    <r>
      <rPr>
        <sz val="12"/>
        <rFont val="Times New Roman"/>
        <family val="1"/>
      </rPr>
      <t>/</t>
    </r>
    <r>
      <rPr>
        <sz val="12"/>
        <rFont val="標楷體"/>
        <family val="4"/>
        <charset val="136"/>
      </rPr>
      <t>程式邏輯若洩漏會對組織造成</t>
    </r>
    <r>
      <rPr>
        <b/>
        <sz val="12"/>
        <rFont val="標楷體"/>
        <family val="4"/>
        <charset val="136"/>
      </rPr>
      <t>有形或無形的損害，</t>
    </r>
    <r>
      <rPr>
        <sz val="12"/>
        <rFont val="標楷體"/>
        <family val="4"/>
        <charset val="136"/>
      </rPr>
      <t>此</t>
    </r>
    <r>
      <rPr>
        <b/>
        <sz val="12"/>
        <rFont val="標楷體"/>
        <family val="4"/>
        <charset val="136"/>
      </rPr>
      <t>損害</t>
    </r>
    <r>
      <rPr>
        <sz val="12"/>
        <rFont val="標楷體"/>
        <family val="4"/>
        <charset val="136"/>
      </rPr>
      <t>為組織</t>
    </r>
    <r>
      <rPr>
        <b/>
        <sz val="12"/>
        <rFont val="標楷體"/>
        <family val="4"/>
        <charset val="136"/>
      </rPr>
      <t>可承受之範圍</t>
    </r>
  </si>
  <si>
    <r>
      <t>n</t>
    </r>
    <r>
      <rPr>
        <sz val="7"/>
        <rFont val="Times New Roman"/>
        <family val="1"/>
      </rPr>
      <t xml:space="preserve"> </t>
    </r>
    <r>
      <rPr>
        <sz val="12"/>
        <rFont val="標楷體"/>
        <family val="4"/>
        <charset val="136"/>
      </rPr>
      <t>軟體若不完整，將造成</t>
    </r>
    <r>
      <rPr>
        <b/>
        <sz val="12"/>
        <rFont val="標楷體"/>
        <family val="4"/>
        <charset val="136"/>
      </rPr>
      <t>部門作業受影響</t>
    </r>
  </si>
  <si>
    <r>
      <t>n</t>
    </r>
    <r>
      <rPr>
        <sz val="7"/>
        <rFont val="Times New Roman"/>
        <family val="1"/>
      </rPr>
      <t xml:space="preserve"> </t>
    </r>
    <r>
      <rPr>
        <sz val="12"/>
        <rFont val="標楷體"/>
        <family val="4"/>
        <charset val="136"/>
      </rPr>
      <t>可忍受服務中斷時間：</t>
    </r>
    <r>
      <rPr>
        <b/>
        <sz val="12"/>
        <rFont val="Times New Roman"/>
        <family val="1"/>
      </rPr>
      <t>1 ~12</t>
    </r>
    <r>
      <rPr>
        <b/>
        <sz val="12"/>
        <rFont val="標楷體"/>
        <family val="4"/>
        <charset val="136"/>
      </rPr>
      <t>小時</t>
    </r>
  </si>
  <si>
    <r>
      <t>n</t>
    </r>
    <r>
      <rPr>
        <sz val="7"/>
        <rFont val="Times New Roman"/>
        <family val="1"/>
      </rPr>
      <t xml:space="preserve"> </t>
    </r>
    <r>
      <rPr>
        <sz val="12"/>
        <rFont val="標楷體"/>
        <family val="4"/>
        <charset val="136"/>
      </rPr>
      <t>軟體</t>
    </r>
    <r>
      <rPr>
        <sz val="12"/>
        <rFont val="Times New Roman"/>
        <family val="1"/>
      </rPr>
      <t>/</t>
    </r>
    <r>
      <rPr>
        <sz val="12"/>
        <rFont val="標楷體"/>
        <family val="4"/>
        <charset val="136"/>
      </rPr>
      <t>程式邏輯若流傳至組織以外，</t>
    </r>
    <r>
      <rPr>
        <b/>
        <sz val="12"/>
        <rFont val="標楷體"/>
        <family val="4"/>
        <charset val="136"/>
      </rPr>
      <t>不會</t>
    </r>
    <r>
      <rPr>
        <sz val="12"/>
        <rFont val="標楷體"/>
        <family val="4"/>
        <charset val="136"/>
      </rPr>
      <t>對組織</t>
    </r>
    <r>
      <rPr>
        <b/>
        <sz val="12"/>
        <rFont val="標楷體"/>
        <family val="4"/>
        <charset val="136"/>
      </rPr>
      <t>造成</t>
    </r>
    <r>
      <rPr>
        <sz val="12"/>
        <rFont val="標楷體"/>
        <family val="4"/>
        <charset val="136"/>
      </rPr>
      <t>任何有形或無形的</t>
    </r>
    <r>
      <rPr>
        <b/>
        <sz val="12"/>
        <rFont val="標楷體"/>
        <family val="4"/>
        <charset val="136"/>
      </rPr>
      <t>傷害</t>
    </r>
    <r>
      <rPr>
        <sz val="12"/>
        <rFont val="Times New Roman"/>
        <family val="1"/>
      </rPr>
      <t>(</t>
    </r>
    <r>
      <rPr>
        <sz val="12"/>
        <rFont val="標楷體"/>
        <family val="4"/>
        <charset val="136"/>
      </rPr>
      <t>註</t>
    </r>
    <r>
      <rPr>
        <sz val="12"/>
        <rFont val="Times New Roman"/>
        <family val="1"/>
      </rPr>
      <t xml:space="preserve">1) </t>
    </r>
  </si>
  <si>
    <r>
      <t>n</t>
    </r>
    <r>
      <rPr>
        <sz val="7"/>
        <rFont val="Times New Roman"/>
        <family val="1"/>
      </rPr>
      <t xml:space="preserve"> </t>
    </r>
    <r>
      <rPr>
        <sz val="12"/>
        <rFont val="標楷體"/>
        <family val="4"/>
        <charset val="136"/>
      </rPr>
      <t>軟體若不完整，將造成</t>
    </r>
    <r>
      <rPr>
        <b/>
        <sz val="12"/>
        <rFont val="標楷體"/>
        <family val="4"/>
        <charset val="136"/>
      </rPr>
      <t>少數或個別承辦人作業受影響</t>
    </r>
  </si>
  <si>
    <r>
      <t>n</t>
    </r>
    <r>
      <rPr>
        <sz val="7"/>
        <rFont val="Times New Roman"/>
        <family val="1"/>
      </rPr>
      <t xml:space="preserve"> </t>
    </r>
    <r>
      <rPr>
        <sz val="12"/>
        <rFont val="標楷體"/>
        <family val="4"/>
        <charset val="136"/>
      </rPr>
      <t>可忍受服務中斷時間：</t>
    </r>
    <r>
      <rPr>
        <b/>
        <sz val="12"/>
        <rFont val="Times New Roman"/>
        <family val="1"/>
      </rPr>
      <t>12</t>
    </r>
    <r>
      <rPr>
        <b/>
        <sz val="12"/>
        <rFont val="標楷體"/>
        <family val="4"/>
        <charset val="136"/>
      </rPr>
      <t>小時以上</t>
    </r>
  </si>
  <si>
    <t>人員類資訊資產價值評分標準</t>
  </si>
  <si>
    <r>
      <t>n</t>
    </r>
    <r>
      <rPr>
        <sz val="7"/>
        <rFont val="Times New Roman"/>
        <family val="1"/>
      </rPr>
      <t xml:space="preserve"> </t>
    </r>
    <r>
      <rPr>
        <sz val="12"/>
        <rFont val="標楷體"/>
        <family val="4"/>
        <charset val="136"/>
      </rPr>
      <t>人員所接觸之資料內容屬於</t>
    </r>
    <r>
      <rPr>
        <b/>
        <sz val="12"/>
        <rFont val="標楷體"/>
        <family val="4"/>
        <charset val="136"/>
      </rPr>
      <t>密</t>
    </r>
  </si>
  <si>
    <r>
      <t>n</t>
    </r>
    <r>
      <rPr>
        <sz val="7"/>
        <rFont val="Times New Roman"/>
        <family val="1"/>
      </rPr>
      <t xml:space="preserve"> </t>
    </r>
    <r>
      <rPr>
        <sz val="12"/>
        <rFont val="標楷體"/>
        <family val="4"/>
        <charset val="136"/>
      </rPr>
      <t>適任性極高</t>
    </r>
  </si>
  <si>
    <r>
      <t>n</t>
    </r>
    <r>
      <rPr>
        <sz val="7"/>
        <rFont val="Times New Roman"/>
        <family val="1"/>
      </rPr>
      <t xml:space="preserve"> </t>
    </r>
    <r>
      <rPr>
        <sz val="12"/>
        <rFont val="標楷體"/>
        <family val="4"/>
        <charset val="136"/>
      </rPr>
      <t>作業</t>
    </r>
    <r>
      <rPr>
        <b/>
        <sz val="12"/>
        <rFont val="標楷體"/>
        <family val="4"/>
        <charset val="136"/>
      </rPr>
      <t>完全仰賴</t>
    </r>
    <r>
      <rPr>
        <sz val="12"/>
        <rFont val="標楷體"/>
        <family val="4"/>
        <charset val="136"/>
      </rPr>
      <t>該員，且一旦該員無法作業時，將</t>
    </r>
    <r>
      <rPr>
        <b/>
        <sz val="12"/>
        <rFont val="標楷體"/>
        <family val="4"/>
        <charset val="136"/>
      </rPr>
      <t>影響全組織</t>
    </r>
    <r>
      <rPr>
        <sz val="12"/>
        <rFont val="標楷體"/>
        <family val="4"/>
        <charset val="136"/>
      </rPr>
      <t>對外提供服務作業</t>
    </r>
  </si>
  <si>
    <r>
      <t>n</t>
    </r>
    <r>
      <rPr>
        <sz val="7"/>
        <rFont val="Times New Roman"/>
        <family val="1"/>
      </rPr>
      <t xml:space="preserve"> </t>
    </r>
    <r>
      <rPr>
        <sz val="12"/>
        <rFont val="標楷體"/>
        <family val="4"/>
        <charset val="136"/>
      </rPr>
      <t>資料內容若洩漏會</t>
    </r>
    <r>
      <rPr>
        <b/>
        <sz val="12"/>
        <rFont val="標楷體"/>
        <family val="4"/>
        <charset val="136"/>
      </rPr>
      <t>影響大多數客戶權益</t>
    </r>
  </si>
  <si>
    <r>
      <t>n</t>
    </r>
    <r>
      <rPr>
        <sz val="7"/>
        <rFont val="Times New Roman"/>
        <family val="1"/>
      </rPr>
      <t xml:space="preserve"> </t>
    </r>
    <r>
      <rPr>
        <sz val="12"/>
        <rFont val="標楷體"/>
        <family val="4"/>
        <charset val="136"/>
      </rPr>
      <t>極高度符合工作執掌需求</t>
    </r>
  </si>
  <si>
    <r>
      <t>n</t>
    </r>
    <r>
      <rPr>
        <sz val="7"/>
        <rFont val="Times New Roman"/>
        <family val="1"/>
      </rPr>
      <t xml:space="preserve"> </t>
    </r>
    <r>
      <rPr>
        <sz val="12"/>
        <rFont val="標楷體"/>
        <family val="4"/>
        <charset val="136"/>
      </rPr>
      <t>適任性高</t>
    </r>
  </si>
  <si>
    <r>
      <t>n</t>
    </r>
    <r>
      <rPr>
        <sz val="7"/>
        <rFont val="Times New Roman"/>
        <family val="1"/>
      </rPr>
      <t xml:space="preserve"> </t>
    </r>
    <r>
      <rPr>
        <sz val="12"/>
        <rFont val="標楷體"/>
        <family val="4"/>
        <charset val="136"/>
      </rPr>
      <t>作業</t>
    </r>
    <r>
      <rPr>
        <b/>
        <sz val="12"/>
        <rFont val="標楷體"/>
        <family val="4"/>
        <charset val="136"/>
      </rPr>
      <t>高度仰賴</t>
    </r>
    <r>
      <rPr>
        <sz val="12"/>
        <rFont val="標楷體"/>
        <family val="4"/>
        <charset val="136"/>
      </rPr>
      <t>該員，且一旦該員無法作業時，將</t>
    </r>
    <r>
      <rPr>
        <b/>
        <sz val="12"/>
        <rFont val="標楷體"/>
        <family val="4"/>
        <charset val="136"/>
      </rPr>
      <t>影響組織內跨部門</t>
    </r>
    <r>
      <rPr>
        <sz val="12"/>
        <rFont val="標楷體"/>
        <family val="4"/>
        <charset val="136"/>
      </rPr>
      <t>作業</t>
    </r>
  </si>
  <si>
    <r>
      <t>n</t>
    </r>
    <r>
      <rPr>
        <sz val="7"/>
        <rFont val="Times New Roman"/>
        <family val="1"/>
      </rPr>
      <t xml:space="preserve"> </t>
    </r>
    <r>
      <rPr>
        <sz val="12"/>
        <rFont val="標楷體"/>
        <family val="4"/>
        <charset val="136"/>
      </rPr>
      <t>資料內容若洩漏會嚴重</t>
    </r>
    <r>
      <rPr>
        <b/>
        <sz val="12"/>
        <rFont val="標楷體"/>
        <family val="4"/>
        <charset val="136"/>
      </rPr>
      <t>影響組織聲譽及客戶權益</t>
    </r>
  </si>
  <si>
    <r>
      <t>n</t>
    </r>
    <r>
      <rPr>
        <sz val="7"/>
        <rFont val="Times New Roman"/>
        <family val="1"/>
      </rPr>
      <t xml:space="preserve"> </t>
    </r>
    <r>
      <rPr>
        <sz val="12"/>
        <rFont val="標楷體"/>
        <family val="4"/>
        <charset val="136"/>
      </rPr>
      <t>高度符合工作職掌需求</t>
    </r>
  </si>
  <si>
    <r>
      <t>n</t>
    </r>
    <r>
      <rPr>
        <sz val="7"/>
        <rFont val="Times New Roman"/>
        <family val="1"/>
      </rPr>
      <t xml:space="preserve"> </t>
    </r>
    <r>
      <rPr>
        <sz val="12"/>
        <rFont val="標楷體"/>
        <family val="4"/>
        <charset val="136"/>
      </rPr>
      <t>人員所接觸之資料內容僅供</t>
    </r>
    <r>
      <rPr>
        <b/>
        <sz val="12"/>
        <rFont val="標楷體"/>
        <family val="4"/>
        <charset val="136"/>
      </rPr>
      <t>內部使用</t>
    </r>
  </si>
  <si>
    <r>
      <t>n</t>
    </r>
    <r>
      <rPr>
        <sz val="7"/>
        <rFont val="Times New Roman"/>
        <family val="1"/>
      </rPr>
      <t xml:space="preserve"> </t>
    </r>
    <r>
      <rPr>
        <sz val="12"/>
        <rFont val="標楷體"/>
        <family val="4"/>
        <charset val="136"/>
      </rPr>
      <t>適任性中</t>
    </r>
  </si>
  <si>
    <r>
      <t>n</t>
    </r>
    <r>
      <rPr>
        <sz val="7"/>
        <rFont val="Times New Roman"/>
        <family val="1"/>
      </rPr>
      <t xml:space="preserve"> </t>
    </r>
    <r>
      <rPr>
        <sz val="12"/>
        <rFont val="標楷體"/>
        <family val="4"/>
        <charset val="136"/>
      </rPr>
      <t>作業</t>
    </r>
    <r>
      <rPr>
        <b/>
        <sz val="12"/>
        <rFont val="標楷體"/>
        <family val="4"/>
        <charset val="136"/>
      </rPr>
      <t>仰賴</t>
    </r>
    <r>
      <rPr>
        <sz val="12"/>
        <rFont val="標楷體"/>
        <family val="4"/>
        <charset val="136"/>
      </rPr>
      <t>該員，且一旦該員無法作業時，將</t>
    </r>
    <r>
      <rPr>
        <b/>
        <sz val="12"/>
        <rFont val="標楷體"/>
        <family val="4"/>
        <charset val="136"/>
      </rPr>
      <t>影響部門</t>
    </r>
    <r>
      <rPr>
        <sz val="12"/>
        <rFont val="標楷體"/>
        <family val="4"/>
        <charset val="136"/>
      </rPr>
      <t>作業</t>
    </r>
  </si>
  <si>
    <r>
      <t>n</t>
    </r>
    <r>
      <rPr>
        <sz val="7"/>
        <rFont val="Times New Roman"/>
        <family val="1"/>
      </rPr>
      <t xml:space="preserve"> </t>
    </r>
    <r>
      <rPr>
        <sz val="12"/>
        <rFont val="標楷體"/>
        <family val="4"/>
        <charset val="136"/>
      </rPr>
      <t>資料內容若洩漏會對組織造成</t>
    </r>
    <r>
      <rPr>
        <b/>
        <sz val="12"/>
        <rFont val="標楷體"/>
        <family val="4"/>
        <charset val="136"/>
      </rPr>
      <t>有形或無形的損害</t>
    </r>
    <r>
      <rPr>
        <sz val="12"/>
        <rFont val="標楷體"/>
        <family val="4"/>
        <charset val="136"/>
      </rPr>
      <t>，此損害為組織</t>
    </r>
    <r>
      <rPr>
        <b/>
        <sz val="12"/>
        <rFont val="標楷體"/>
        <family val="4"/>
        <charset val="136"/>
      </rPr>
      <t>可承受</t>
    </r>
    <r>
      <rPr>
        <sz val="12"/>
        <rFont val="標楷體"/>
        <family val="4"/>
        <charset val="136"/>
      </rPr>
      <t>之範圍</t>
    </r>
  </si>
  <si>
    <r>
      <t>n</t>
    </r>
    <r>
      <rPr>
        <sz val="7"/>
        <rFont val="Times New Roman"/>
        <family val="1"/>
      </rPr>
      <t xml:space="preserve"> </t>
    </r>
    <r>
      <rPr>
        <sz val="12"/>
        <rFont val="標楷體"/>
        <family val="4"/>
        <charset val="136"/>
      </rPr>
      <t>符合工作職掌需求</t>
    </r>
  </si>
  <si>
    <r>
      <t>n</t>
    </r>
    <r>
      <rPr>
        <sz val="7"/>
        <rFont val="Times New Roman"/>
        <family val="1"/>
      </rPr>
      <t xml:space="preserve"> </t>
    </r>
    <r>
      <rPr>
        <sz val="12"/>
        <rFont val="標楷體"/>
        <family val="4"/>
        <charset val="136"/>
      </rPr>
      <t>人員所接觸之資料為</t>
    </r>
    <r>
      <rPr>
        <b/>
        <sz val="12"/>
        <rFont val="標楷體"/>
        <family val="4"/>
        <charset val="136"/>
      </rPr>
      <t>一般性資料</t>
    </r>
    <r>
      <rPr>
        <sz val="12"/>
        <rFont val="標楷體"/>
        <family val="4"/>
        <charset val="136"/>
      </rPr>
      <t>，但須遵守相關發佈流程</t>
    </r>
  </si>
  <si>
    <r>
      <t>n</t>
    </r>
    <r>
      <rPr>
        <sz val="7"/>
        <rFont val="Times New Roman"/>
        <family val="1"/>
      </rPr>
      <t xml:space="preserve"> </t>
    </r>
    <r>
      <rPr>
        <sz val="12"/>
        <rFont val="標楷體"/>
        <family val="4"/>
        <charset val="136"/>
      </rPr>
      <t>適任性低</t>
    </r>
  </si>
  <si>
    <r>
      <t>n</t>
    </r>
    <r>
      <rPr>
        <sz val="7"/>
        <rFont val="Times New Roman"/>
        <family val="1"/>
      </rPr>
      <t xml:space="preserve"> </t>
    </r>
    <r>
      <rPr>
        <sz val="12"/>
        <rFont val="標楷體"/>
        <family val="4"/>
        <charset val="136"/>
      </rPr>
      <t>作業</t>
    </r>
    <r>
      <rPr>
        <b/>
        <sz val="12"/>
        <rFont val="標楷體"/>
        <family val="4"/>
        <charset val="136"/>
      </rPr>
      <t>仰賴</t>
    </r>
    <r>
      <rPr>
        <sz val="12"/>
        <rFont val="標楷體"/>
        <family val="4"/>
        <charset val="136"/>
      </rPr>
      <t>該員，且一旦該員無法作業時，將</t>
    </r>
    <r>
      <rPr>
        <b/>
        <sz val="12"/>
        <rFont val="標楷體"/>
        <family val="4"/>
        <charset val="136"/>
      </rPr>
      <t>影響少數承辦人</t>
    </r>
    <r>
      <rPr>
        <sz val="12"/>
        <rFont val="標楷體"/>
        <family val="4"/>
        <charset val="136"/>
      </rPr>
      <t>作業，但或許是可暫時人工作業、或可暫時替代</t>
    </r>
  </si>
  <si>
    <r>
      <t>n</t>
    </r>
    <r>
      <rPr>
        <sz val="7"/>
        <rFont val="Times New Roman"/>
        <family val="1"/>
      </rPr>
      <t xml:space="preserve"> </t>
    </r>
    <r>
      <rPr>
        <sz val="12"/>
        <rFont val="標楷體"/>
        <family val="4"/>
        <charset val="136"/>
      </rPr>
      <t>若流傳至組織以外，不會對組織造成任何有形或無形的傷害</t>
    </r>
    <r>
      <rPr>
        <sz val="12"/>
        <rFont val="Times New Roman"/>
        <family val="1"/>
      </rPr>
      <t>(</t>
    </r>
    <r>
      <rPr>
        <sz val="12"/>
        <rFont val="標楷體"/>
        <family val="4"/>
        <charset val="136"/>
      </rPr>
      <t>註</t>
    </r>
    <r>
      <rPr>
        <sz val="12"/>
        <rFont val="Times New Roman"/>
        <family val="1"/>
      </rPr>
      <t>1)</t>
    </r>
  </si>
  <si>
    <t>類別</t>
    <phoneticPr fontId="2" type="noConversion"/>
  </si>
  <si>
    <t>群組編號</t>
    <phoneticPr fontId="2" type="noConversion"/>
  </si>
  <si>
    <t>資產項目</t>
    <phoneticPr fontId="2" type="noConversion"/>
  </si>
  <si>
    <t>資產價值 
C</t>
    <phoneticPr fontId="2" type="noConversion"/>
  </si>
  <si>
    <t xml:space="preserve">資產價值
 I  </t>
    <phoneticPr fontId="2" type="noConversion"/>
  </si>
  <si>
    <t xml:space="preserve">資產價值A  </t>
    <phoneticPr fontId="2" type="noConversion"/>
  </si>
  <si>
    <t>資產價值等級</t>
    <phoneticPr fontId="2" type="noConversion"/>
  </si>
  <si>
    <t>備註</t>
    <phoneticPr fontId="2" type="noConversion"/>
  </si>
  <si>
    <t>脆弱點</t>
  </si>
  <si>
    <t>威脅</t>
  </si>
  <si>
    <t>弱點脆弱度</t>
    <phoneticPr fontId="2" type="noConversion"/>
  </si>
  <si>
    <t>可能性等級</t>
    <phoneticPr fontId="2" type="noConversion"/>
  </si>
  <si>
    <t>風險值</t>
  </si>
  <si>
    <t>Risk
Owner</t>
    <phoneticPr fontId="2" type="noConversion"/>
  </si>
  <si>
    <t>GS008</t>
    <phoneticPr fontId="2" type="noConversion"/>
  </si>
  <si>
    <t>軟體的已知缺陷</t>
  </si>
  <si>
    <t>惡意的軟體</t>
  </si>
  <si>
    <t>資通安全管理委員會</t>
  </si>
  <si>
    <t>缺乏稽核軌跡</t>
  </si>
  <si>
    <t>未經授權的使用</t>
  </si>
  <si>
    <t>不良的通行碼(password)管理</t>
  </si>
  <si>
    <t>假冒使用者身分</t>
  </si>
  <si>
    <t>沒有或不足的軟體測試</t>
  </si>
  <si>
    <t>軟體故障</t>
  </si>
  <si>
    <t>大類</t>
  </si>
  <si>
    <t>小類</t>
  </si>
  <si>
    <t>弱點</t>
  </si>
  <si>
    <t>C</t>
  </si>
  <si>
    <t>I</t>
  </si>
  <si>
    <t>A</t>
  </si>
  <si>
    <t>資訊資產弱點脆弱度評分</t>
    <phoneticPr fontId="2" type="noConversion"/>
  </si>
  <si>
    <t>人員類</t>
  </si>
  <si>
    <t>全類</t>
  </si>
  <si>
    <t>人員短缺</t>
  </si>
  <si>
    <t>O</t>
  </si>
  <si>
    <t>V</t>
  </si>
  <si>
    <t>評分標準：必須評估脆弱點的嚴重程度，亦即容易被威脅所利用的程度。</t>
  </si>
  <si>
    <t>不足的安全訓練</t>
    <phoneticPr fontId="2" type="noConversion"/>
  </si>
  <si>
    <t>操作人員的錯誤</t>
    <phoneticPr fontId="2" type="noConversion"/>
  </si>
  <si>
    <r>
      <t>n</t>
    </r>
    <r>
      <rPr>
        <sz val="7"/>
        <rFont val="Times New Roman"/>
        <family val="1"/>
      </rPr>
      <t xml:space="preserve">   </t>
    </r>
    <r>
      <rPr>
        <sz val="12"/>
        <rFont val="Times New Roman"/>
        <family val="1"/>
      </rPr>
      <t>4-</t>
    </r>
    <r>
      <rPr>
        <sz val="12"/>
        <rFont val="標楷體"/>
        <family val="4"/>
        <charset val="136"/>
      </rPr>
      <t>弱點無受到適當控制且無初步計畫與認知。</t>
    </r>
  </si>
  <si>
    <r>
      <t>不當使用軟體及</t>
    </r>
    <r>
      <rPr>
        <sz val="12"/>
        <color rgb="FF000000"/>
        <rFont val="Times New Roman"/>
        <family val="1"/>
      </rPr>
      <t>(</t>
    </r>
    <r>
      <rPr>
        <sz val="12"/>
        <color rgb="FF000000"/>
        <rFont val="標楷體"/>
        <family val="4"/>
        <charset val="136"/>
      </rPr>
      <t>或</t>
    </r>
    <r>
      <rPr>
        <sz val="12"/>
        <color rgb="FF000000"/>
        <rFont val="Times New Roman"/>
        <family val="1"/>
      </rPr>
      <t>)</t>
    </r>
    <r>
      <rPr>
        <sz val="12"/>
        <color rgb="FF000000"/>
        <rFont val="標楷體"/>
        <family val="4"/>
        <charset val="136"/>
      </rPr>
      <t>硬體</t>
    </r>
    <phoneticPr fontId="2" type="noConversion"/>
  </si>
  <si>
    <r>
      <t>n</t>
    </r>
    <r>
      <rPr>
        <sz val="7"/>
        <rFont val="Times New Roman"/>
        <family val="1"/>
      </rPr>
      <t xml:space="preserve">   </t>
    </r>
    <r>
      <rPr>
        <sz val="12"/>
        <rFont val="Times New Roman"/>
        <family val="1"/>
      </rPr>
      <t>3-</t>
    </r>
    <r>
      <rPr>
        <sz val="12"/>
        <rFont val="標楷體"/>
        <family val="4"/>
        <charset val="136"/>
      </rPr>
      <t>弱點無受到適當控制且無初步計畫但具有認知。</t>
    </r>
  </si>
  <si>
    <r>
      <t>非法輸出</t>
    </r>
    <r>
      <rPr>
        <sz val="12"/>
        <color rgb="FF000000"/>
        <rFont val="Times New Roman"/>
        <family val="1"/>
      </rPr>
      <t>/</t>
    </r>
    <r>
      <rPr>
        <sz val="12"/>
        <color rgb="FF000000"/>
        <rFont val="標楷體"/>
        <family val="4"/>
        <charset val="136"/>
      </rPr>
      <t>入軟體</t>
    </r>
  </si>
  <si>
    <r>
      <t>n</t>
    </r>
    <r>
      <rPr>
        <sz val="7"/>
        <rFont val="Times New Roman"/>
        <family val="1"/>
      </rPr>
      <t xml:space="preserve">   </t>
    </r>
    <r>
      <rPr>
        <sz val="12"/>
        <rFont val="Times New Roman"/>
        <family val="1"/>
      </rPr>
      <t>2-</t>
    </r>
    <r>
      <rPr>
        <sz val="12"/>
        <rFont val="標楷體"/>
        <family val="4"/>
        <charset val="136"/>
      </rPr>
      <t>弱點無受到適當控制但已有初步計畫。</t>
    </r>
  </si>
  <si>
    <t>不當的招募程序</t>
  </si>
  <si>
    <t>罷工</t>
  </si>
  <si>
    <r>
      <t>n</t>
    </r>
    <r>
      <rPr>
        <sz val="7"/>
        <rFont val="Times New Roman"/>
        <family val="1"/>
      </rPr>
      <t xml:space="preserve">   </t>
    </r>
    <r>
      <rPr>
        <sz val="12"/>
        <rFont val="Times New Roman"/>
        <family val="1"/>
      </rPr>
      <t>1-</t>
    </r>
    <r>
      <rPr>
        <sz val="12"/>
        <rFont val="標楷體"/>
        <family val="4"/>
        <charset val="136"/>
      </rPr>
      <t>弱點已受到適當控制。</t>
    </r>
  </si>
  <si>
    <t>偷竊</t>
  </si>
  <si>
    <r>
      <t>n</t>
    </r>
    <r>
      <rPr>
        <sz val="7"/>
        <rFont val="Times New Roman"/>
        <family val="1"/>
      </rPr>
      <t xml:space="preserve">   </t>
    </r>
    <r>
      <rPr>
        <sz val="12"/>
        <rFont val="Times New Roman"/>
        <family val="1"/>
      </rPr>
      <t>0-</t>
    </r>
    <r>
      <rPr>
        <sz val="12"/>
        <rFont val="標楷體"/>
        <family val="4"/>
        <charset val="136"/>
      </rPr>
      <t>不適用。</t>
    </r>
  </si>
  <si>
    <t>惡意損毀</t>
  </si>
  <si>
    <r>
      <t>缺乏安全的認知</t>
    </r>
    <r>
      <rPr>
        <sz val="12"/>
        <color rgb="FF000000"/>
        <rFont val="Times New Roman"/>
        <family val="1"/>
      </rPr>
      <t>(awareness)</t>
    </r>
    <phoneticPr fontId="2" type="noConversion"/>
  </si>
  <si>
    <t>使用者錯誤</t>
    <phoneticPr fontId="2" type="noConversion"/>
  </si>
  <si>
    <t>資訊資產威脅發生機率評分</t>
    <phoneticPr fontId="2" type="noConversion"/>
  </si>
  <si>
    <r>
      <t>缺乏文件</t>
    </r>
    <r>
      <rPr>
        <sz val="12"/>
        <color rgb="FF000000"/>
        <rFont val="Times New Roman"/>
        <family val="1"/>
      </rPr>
      <t>(</t>
    </r>
    <r>
      <rPr>
        <sz val="12"/>
        <color rgb="FF000000"/>
        <rFont val="標楷體"/>
        <family val="4"/>
        <charset val="136"/>
      </rPr>
      <t>管理作業程序</t>
    </r>
    <r>
      <rPr>
        <sz val="12"/>
        <color rgb="FF000000"/>
        <rFont val="Times New Roman"/>
        <family val="1"/>
      </rPr>
      <t>)</t>
    </r>
  </si>
  <si>
    <t>操作人員的錯誤</t>
  </si>
  <si>
    <t>判斷該威脅對資訊資產造成營運衝擊的可能性並納入影響嚴重度等客觀評分。</t>
  </si>
  <si>
    <r>
      <t>n</t>
    </r>
    <r>
      <rPr>
        <sz val="7"/>
        <rFont val="Times New Roman"/>
        <family val="1"/>
      </rPr>
      <t xml:space="preserve">   </t>
    </r>
    <r>
      <rPr>
        <sz val="12"/>
        <rFont val="Times New Roman"/>
        <family val="1"/>
      </rPr>
      <t>4-</t>
    </r>
    <r>
      <rPr>
        <sz val="12"/>
        <rFont val="標楷體"/>
        <family val="4"/>
        <charset val="136"/>
      </rPr>
      <t>發生可能性極高：每月至少發生兩次</t>
    </r>
    <r>
      <rPr>
        <sz val="12"/>
        <rFont val="Times New Roman"/>
        <family val="1"/>
      </rPr>
      <t>(MAX</t>
    </r>
    <r>
      <rPr>
        <sz val="12"/>
        <rFont val="標楷體"/>
        <family val="4"/>
        <charset val="136"/>
      </rPr>
      <t>：</t>
    </r>
    <r>
      <rPr>
        <sz val="12"/>
        <rFont val="Times New Roman"/>
        <family val="1"/>
      </rPr>
      <t>∞</t>
    </r>
    <r>
      <rPr>
        <sz val="12"/>
        <rFont val="標楷體"/>
        <family val="4"/>
        <charset val="136"/>
      </rPr>
      <t>次</t>
    </r>
    <r>
      <rPr>
        <sz val="12"/>
        <rFont val="Times New Roman"/>
        <family val="1"/>
      </rPr>
      <t>/</t>
    </r>
    <r>
      <rPr>
        <sz val="12"/>
        <rFont val="標楷體"/>
        <family val="4"/>
        <charset val="136"/>
      </rPr>
      <t>年；</t>
    </r>
    <r>
      <rPr>
        <sz val="12"/>
        <rFont val="Times New Roman"/>
        <family val="1"/>
      </rPr>
      <t>MIN</t>
    </r>
    <r>
      <rPr>
        <sz val="12"/>
        <rFont val="標楷體"/>
        <family val="4"/>
        <charset val="136"/>
      </rPr>
      <t>：</t>
    </r>
    <r>
      <rPr>
        <sz val="12"/>
        <rFont val="Times New Roman"/>
        <family val="1"/>
      </rPr>
      <t>24</t>
    </r>
    <r>
      <rPr>
        <sz val="12"/>
        <rFont val="標楷體"/>
        <family val="4"/>
        <charset val="136"/>
      </rPr>
      <t>次</t>
    </r>
    <r>
      <rPr>
        <sz val="12"/>
        <rFont val="Times New Roman"/>
        <family val="1"/>
      </rPr>
      <t>/</t>
    </r>
    <r>
      <rPr>
        <sz val="12"/>
        <rFont val="標楷體"/>
        <family val="4"/>
        <charset val="136"/>
      </rPr>
      <t>年</t>
    </r>
    <r>
      <rPr>
        <sz val="12"/>
        <rFont val="Times New Roman"/>
        <family val="1"/>
      </rPr>
      <t>)</t>
    </r>
  </si>
  <si>
    <r>
      <t>n</t>
    </r>
    <r>
      <rPr>
        <sz val="7"/>
        <rFont val="Times New Roman"/>
        <family val="1"/>
      </rPr>
      <t xml:space="preserve">   </t>
    </r>
    <r>
      <rPr>
        <sz val="12"/>
        <rFont val="Times New Roman"/>
        <family val="1"/>
      </rPr>
      <t>3-</t>
    </r>
    <r>
      <rPr>
        <sz val="12"/>
        <rFont val="標楷體"/>
        <family val="4"/>
        <charset val="136"/>
      </rPr>
      <t>發生可能性高：每月發生一次以上</t>
    </r>
    <r>
      <rPr>
        <sz val="12"/>
        <rFont val="Times New Roman"/>
        <family val="1"/>
      </rPr>
      <t>(MAX</t>
    </r>
    <r>
      <rPr>
        <sz val="12"/>
        <rFont val="標楷體"/>
        <family val="4"/>
        <charset val="136"/>
      </rPr>
      <t>：</t>
    </r>
    <r>
      <rPr>
        <sz val="12"/>
        <rFont val="Times New Roman"/>
        <family val="1"/>
      </rPr>
      <t>23</t>
    </r>
    <r>
      <rPr>
        <sz val="12"/>
        <rFont val="標楷體"/>
        <family val="4"/>
        <charset val="136"/>
      </rPr>
      <t>次</t>
    </r>
    <r>
      <rPr>
        <sz val="12"/>
        <rFont val="Times New Roman"/>
        <family val="1"/>
      </rPr>
      <t>/</t>
    </r>
    <r>
      <rPr>
        <sz val="12"/>
        <rFont val="標楷體"/>
        <family val="4"/>
        <charset val="136"/>
      </rPr>
      <t>年；</t>
    </r>
    <r>
      <rPr>
        <sz val="12"/>
        <rFont val="Times New Roman"/>
        <family val="1"/>
      </rPr>
      <t>MIN</t>
    </r>
    <r>
      <rPr>
        <sz val="12"/>
        <rFont val="標楷體"/>
        <family val="4"/>
        <charset val="136"/>
      </rPr>
      <t>：</t>
    </r>
    <r>
      <rPr>
        <sz val="12"/>
        <rFont val="Times New Roman"/>
        <family val="1"/>
      </rPr>
      <t>12</t>
    </r>
    <r>
      <rPr>
        <sz val="12"/>
        <rFont val="標楷體"/>
        <family val="4"/>
        <charset val="136"/>
      </rPr>
      <t>次</t>
    </r>
    <r>
      <rPr>
        <sz val="12"/>
        <rFont val="Times New Roman"/>
        <family val="1"/>
      </rPr>
      <t>/</t>
    </r>
    <r>
      <rPr>
        <sz val="12"/>
        <rFont val="標楷體"/>
        <family val="4"/>
        <charset val="136"/>
      </rPr>
      <t>年</t>
    </r>
    <r>
      <rPr>
        <sz val="12"/>
        <rFont val="Times New Roman"/>
        <family val="1"/>
      </rPr>
      <t>)</t>
    </r>
  </si>
  <si>
    <t>文件類</t>
  </si>
  <si>
    <t>未控制複製</t>
  </si>
  <si>
    <r>
      <t>n</t>
    </r>
    <r>
      <rPr>
        <sz val="7"/>
        <rFont val="Times New Roman"/>
        <family val="1"/>
      </rPr>
      <t xml:space="preserve">   </t>
    </r>
    <r>
      <rPr>
        <sz val="12"/>
        <rFont val="Times New Roman"/>
        <family val="1"/>
      </rPr>
      <t>2-</t>
    </r>
    <r>
      <rPr>
        <sz val="12"/>
        <rFont val="標楷體"/>
        <family val="4"/>
        <charset val="136"/>
      </rPr>
      <t>發生可能性中度：每季發生一次以上</t>
    </r>
    <r>
      <rPr>
        <sz val="12"/>
        <rFont val="Times New Roman"/>
        <family val="1"/>
      </rPr>
      <t>(MAX</t>
    </r>
    <r>
      <rPr>
        <sz val="12"/>
        <rFont val="標楷體"/>
        <family val="4"/>
        <charset val="136"/>
      </rPr>
      <t>：</t>
    </r>
    <r>
      <rPr>
        <sz val="12"/>
        <rFont val="Times New Roman"/>
        <family val="1"/>
      </rPr>
      <t>11</t>
    </r>
    <r>
      <rPr>
        <sz val="12"/>
        <rFont val="標楷體"/>
        <family val="4"/>
        <charset val="136"/>
      </rPr>
      <t>次</t>
    </r>
    <r>
      <rPr>
        <sz val="12"/>
        <rFont val="Times New Roman"/>
        <family val="1"/>
      </rPr>
      <t>/</t>
    </r>
    <r>
      <rPr>
        <sz val="12"/>
        <rFont val="標楷體"/>
        <family val="4"/>
        <charset val="136"/>
      </rPr>
      <t>年；</t>
    </r>
    <r>
      <rPr>
        <sz val="12"/>
        <rFont val="Times New Roman"/>
        <family val="1"/>
      </rPr>
      <t>MIN</t>
    </r>
    <r>
      <rPr>
        <sz val="12"/>
        <rFont val="標楷體"/>
        <family val="4"/>
        <charset val="136"/>
      </rPr>
      <t>：</t>
    </r>
    <r>
      <rPr>
        <sz val="12"/>
        <rFont val="Times New Roman"/>
        <family val="1"/>
      </rPr>
      <t>4</t>
    </r>
    <r>
      <rPr>
        <sz val="12"/>
        <rFont val="標楷體"/>
        <family val="4"/>
        <charset val="136"/>
      </rPr>
      <t>次</t>
    </r>
    <r>
      <rPr>
        <sz val="12"/>
        <rFont val="Times New Roman"/>
        <family val="1"/>
      </rPr>
      <t>/</t>
    </r>
    <r>
      <rPr>
        <sz val="12"/>
        <rFont val="標楷體"/>
        <family val="4"/>
        <charset val="136"/>
      </rPr>
      <t>年</t>
    </r>
    <r>
      <rPr>
        <sz val="12"/>
        <rFont val="Times New Roman"/>
        <family val="1"/>
      </rPr>
      <t>)</t>
    </r>
  </si>
  <si>
    <t>未授權即使用媒體</t>
  </si>
  <si>
    <r>
      <t>n</t>
    </r>
    <r>
      <rPr>
        <sz val="7"/>
        <rFont val="Times New Roman"/>
        <family val="1"/>
      </rPr>
      <t xml:space="preserve">   </t>
    </r>
    <r>
      <rPr>
        <sz val="12"/>
        <rFont val="Times New Roman"/>
        <family val="1"/>
      </rPr>
      <t>1-</t>
    </r>
    <r>
      <rPr>
        <sz val="12"/>
        <rFont val="標楷體"/>
        <family val="4"/>
        <charset val="136"/>
      </rPr>
      <t>發生可能性低或無：每年發生三次以下</t>
    </r>
    <r>
      <rPr>
        <sz val="12"/>
        <rFont val="Times New Roman"/>
        <family val="1"/>
      </rPr>
      <t>(MAX</t>
    </r>
    <r>
      <rPr>
        <sz val="12"/>
        <rFont val="標楷體"/>
        <family val="4"/>
        <charset val="136"/>
      </rPr>
      <t>：</t>
    </r>
    <r>
      <rPr>
        <sz val="12"/>
        <rFont val="Times New Roman"/>
        <family val="1"/>
      </rPr>
      <t>3</t>
    </r>
    <r>
      <rPr>
        <sz val="12"/>
        <rFont val="標楷體"/>
        <family val="4"/>
        <charset val="136"/>
      </rPr>
      <t>次</t>
    </r>
    <r>
      <rPr>
        <sz val="12"/>
        <rFont val="Times New Roman"/>
        <family val="1"/>
      </rPr>
      <t>/</t>
    </r>
    <r>
      <rPr>
        <sz val="12"/>
        <rFont val="標楷體"/>
        <family val="4"/>
        <charset val="136"/>
      </rPr>
      <t>年；</t>
    </r>
    <r>
      <rPr>
        <sz val="12"/>
        <rFont val="Times New Roman"/>
        <family val="1"/>
      </rPr>
      <t>MIN</t>
    </r>
    <r>
      <rPr>
        <sz val="12"/>
        <rFont val="標楷體"/>
        <family val="4"/>
        <charset val="136"/>
      </rPr>
      <t>：</t>
    </r>
    <r>
      <rPr>
        <sz val="12"/>
        <rFont val="Times New Roman"/>
        <family val="1"/>
      </rPr>
      <t>0</t>
    </r>
    <r>
      <rPr>
        <sz val="12"/>
        <rFont val="標楷體"/>
        <family val="4"/>
        <charset val="136"/>
      </rPr>
      <t>次</t>
    </r>
    <r>
      <rPr>
        <sz val="12"/>
        <rFont val="Times New Roman"/>
        <family val="1"/>
      </rPr>
      <t>/</t>
    </r>
    <r>
      <rPr>
        <sz val="12"/>
        <rFont val="標楷體"/>
        <family val="4"/>
        <charset val="136"/>
      </rPr>
      <t>年</t>
    </r>
    <r>
      <rPr>
        <sz val="12"/>
        <rFont val="Times New Roman"/>
        <family val="1"/>
      </rPr>
      <t>)</t>
    </r>
  </si>
  <si>
    <t>廢棄物處理疏於照管</t>
  </si>
  <si>
    <r>
      <t>n</t>
    </r>
    <r>
      <rPr>
        <sz val="7"/>
        <rFont val="Times New Roman"/>
        <family val="1"/>
      </rPr>
      <t xml:space="preserve">   </t>
    </r>
    <r>
      <rPr>
        <sz val="12"/>
        <rFont val="Times New Roman"/>
        <family val="1"/>
      </rPr>
      <t>0-</t>
    </r>
    <r>
      <rPr>
        <sz val="12"/>
        <rFont val="標楷體"/>
        <family val="4"/>
        <charset val="136"/>
      </rPr>
      <t>不適用</t>
    </r>
  </si>
  <si>
    <r>
      <t>缺乏安全的認知</t>
    </r>
    <r>
      <rPr>
        <sz val="12"/>
        <color rgb="FF000000"/>
        <rFont val="Times New Roman"/>
        <family val="1"/>
      </rPr>
      <t>(awareness)</t>
    </r>
  </si>
  <si>
    <t>使用者錯誤</t>
  </si>
  <si>
    <t>不足的安全訓練</t>
  </si>
  <si>
    <t>缺乏有效的建構變更控制</t>
  </si>
  <si>
    <t>缺乏備援拷貝</t>
  </si>
  <si>
    <t>火災</t>
  </si>
  <si>
    <r>
      <t>水災土石流</t>
    </r>
    <r>
      <rPr>
        <sz val="12"/>
        <color rgb="FF000000"/>
        <rFont val="Times New Roman"/>
        <family val="1"/>
      </rPr>
      <t xml:space="preserve"> </t>
    </r>
  </si>
  <si>
    <t>服務類</t>
  </si>
  <si>
    <t>操作者錯誤</t>
  </si>
  <si>
    <r>
      <t>不當使用軟體及</t>
    </r>
    <r>
      <rPr>
        <sz val="12"/>
        <color rgb="FF000000"/>
        <rFont val="Times New Roman"/>
        <family val="1"/>
      </rPr>
      <t>(</t>
    </r>
    <r>
      <rPr>
        <sz val="12"/>
        <color rgb="FF000000"/>
        <rFont val="標楷體"/>
        <family val="4"/>
        <charset val="136"/>
      </rPr>
      <t>或</t>
    </r>
    <r>
      <rPr>
        <sz val="12"/>
        <color rgb="FF000000"/>
        <rFont val="Times New Roman"/>
        <family val="1"/>
      </rPr>
      <t>)</t>
    </r>
    <r>
      <rPr>
        <sz val="12"/>
        <color rgb="FF000000"/>
        <rFont val="標楷體"/>
        <family val="4"/>
        <charset val="136"/>
      </rPr>
      <t>硬體</t>
    </r>
  </si>
  <si>
    <t>不當的服務維護回應</t>
    <phoneticPr fontId="2" type="noConversion"/>
  </si>
  <si>
    <t>硬體故障</t>
    <phoneticPr fontId="2" type="noConversion"/>
  </si>
  <si>
    <t>電力供應故障</t>
  </si>
  <si>
    <t>建築與保護類</t>
  </si>
  <si>
    <t>一般辦公區域</t>
  </si>
  <si>
    <t>不當的服務維護回應</t>
  </si>
  <si>
    <t>水供應故障</t>
  </si>
  <si>
    <t>空調故障</t>
  </si>
  <si>
    <t>硬體故障</t>
  </si>
  <si>
    <t>未監督外來人員或清潔人員之工作</t>
  </si>
  <si>
    <t>建築或房間不當或疏於使用實體進出管制</t>
  </si>
  <si>
    <t>資源的不正確使用</t>
  </si>
  <si>
    <t>缺乏門禁管制</t>
  </si>
  <si>
    <t>位處易有水患之地</t>
  </si>
  <si>
    <t>特殊辦公區域</t>
  </si>
  <si>
    <t>資訊機房、檔案室區域</t>
  </si>
  <si>
    <t>對溫度變化敏感</t>
  </si>
  <si>
    <t>溫度與濕度超過限值</t>
  </si>
  <si>
    <r>
      <t>倉庫</t>
    </r>
    <r>
      <rPr>
        <sz val="12"/>
        <color rgb="FF000000"/>
        <rFont val="Times New Roman"/>
        <family val="1"/>
      </rPr>
      <t>(</t>
    </r>
    <r>
      <rPr>
        <sz val="12"/>
        <color rgb="FF000000"/>
        <rFont val="標楷體"/>
        <family val="4"/>
        <charset val="136"/>
      </rPr>
      <t>庫房</t>
    </r>
    <r>
      <rPr>
        <sz val="12"/>
        <color rgb="FF000000"/>
        <rFont val="Times New Roman"/>
        <family val="1"/>
      </rPr>
      <t>)</t>
    </r>
  </si>
  <si>
    <r>
      <t>建築保護設施</t>
    </r>
    <r>
      <rPr>
        <sz val="12"/>
        <color rgb="FF000000"/>
        <rFont val="Times New Roman"/>
        <family val="1"/>
      </rPr>
      <t>(</t>
    </r>
    <r>
      <rPr>
        <sz val="12"/>
        <color rgb="FF000000"/>
        <rFont val="標楷體"/>
        <family val="4"/>
        <charset val="136"/>
      </rPr>
      <t>火偵測、熱偵測、水偵測系統、滅火系統、溫濕度計</t>
    </r>
    <r>
      <rPr>
        <sz val="12"/>
        <color rgb="FF000000"/>
        <rFont val="Times New Roman"/>
        <family val="1"/>
      </rPr>
      <t>)</t>
    </r>
  </si>
  <si>
    <t>不足的維護或安裝的錯誤</t>
  </si>
  <si>
    <t>地震</t>
  </si>
  <si>
    <t>維護錯誤</t>
  </si>
  <si>
    <t>儲存媒體變質</t>
  </si>
  <si>
    <t>缺乏監控(mOnitOring)機制</t>
  </si>
  <si>
    <t>以非授權的方式使用軟體</t>
  </si>
  <si>
    <t>以非授權的方式使用網路設施</t>
  </si>
  <si>
    <t>非法使用軟體</t>
  </si>
  <si>
    <t>對電壓變化敏感</t>
  </si>
  <si>
    <t>電壓不穩定</t>
  </si>
  <si>
    <t>軟體類</t>
  </si>
  <si>
    <t>OA系統</t>
  </si>
  <si>
    <t>惡意軟體</t>
  </si>
  <si>
    <t>缺乏有效變更控制</t>
  </si>
  <si>
    <t>使用者的錯誤</t>
  </si>
  <si>
    <t>繁複的使用者介面</t>
  </si>
  <si>
    <r>
      <t>電力供應故障</t>
    </r>
    <r>
      <rPr>
        <sz val="12"/>
        <color rgb="FF000000"/>
        <rFont val="Times New Roman"/>
        <family val="1"/>
      </rPr>
      <t>/</t>
    </r>
    <r>
      <rPr>
        <sz val="12"/>
        <color rgb="FF000000"/>
        <rFont val="標楷體"/>
        <family val="4"/>
        <charset val="136"/>
      </rPr>
      <t>停水</t>
    </r>
  </si>
  <si>
    <r>
      <t>缺乏識別及鑑別機制</t>
    </r>
    <r>
      <rPr>
        <sz val="12"/>
        <color rgb="FF000000"/>
        <rFont val="Times New Roman"/>
        <family val="1"/>
      </rPr>
      <t>(</t>
    </r>
    <r>
      <rPr>
        <sz val="12"/>
        <color rgb="FF000000"/>
        <rFont val="標楷體"/>
        <family val="4"/>
        <charset val="136"/>
      </rPr>
      <t>如使用者鑑別</t>
    </r>
    <r>
      <rPr>
        <sz val="12"/>
        <color rgb="FF000000"/>
        <rFont val="Times New Roman"/>
        <family val="1"/>
      </rPr>
      <t>)</t>
    </r>
  </si>
  <si>
    <t>缺乏發送端與接收端識別及鑑別機制</t>
  </si>
  <si>
    <t>離開工作站沒有登出(LOgOut)</t>
  </si>
  <si>
    <t>不良的通行碼(passwOrd)管理</t>
  </si>
  <si>
    <t>通行碼以明碼傳送</t>
  </si>
  <si>
    <t>不明確或不完整的開發規格</t>
  </si>
  <si>
    <t>資訊安全系統</t>
  </si>
  <si>
    <t>作業系統</t>
  </si>
  <si>
    <t>假冒使用者身分</t>
    <phoneticPr fontId="2" type="noConversion"/>
  </si>
  <si>
    <t>未經授權的使用</t>
    <phoneticPr fontId="2" type="noConversion"/>
  </si>
  <si>
    <t>應用系統</t>
  </si>
  <si>
    <t>缺乏備援拷貝</t>
    <phoneticPr fontId="2" type="noConversion"/>
  </si>
  <si>
    <t>惡意軟體</t>
    <phoneticPr fontId="2" type="noConversion"/>
  </si>
  <si>
    <t>缺乏稽核軌跡</t>
    <phoneticPr fontId="2" type="noConversion"/>
  </si>
  <si>
    <r>
      <t>缺乏識別及鑑別機制</t>
    </r>
    <r>
      <rPr>
        <sz val="12"/>
        <color rgb="FF000000"/>
        <rFont val="Times New Roman"/>
        <family val="1"/>
      </rPr>
      <t>(</t>
    </r>
    <r>
      <rPr>
        <sz val="12"/>
        <color rgb="FF000000"/>
        <rFont val="標楷體"/>
        <family val="4"/>
        <charset val="136"/>
      </rPr>
      <t>如使用者鑑別</t>
    </r>
    <r>
      <rPr>
        <sz val="12"/>
        <color rgb="FF000000"/>
        <rFont val="Times New Roman"/>
        <family val="1"/>
      </rPr>
      <t>)</t>
    </r>
    <phoneticPr fontId="2" type="noConversion"/>
  </si>
  <si>
    <t>沒有或不足的軟體測試</t>
    <phoneticPr fontId="2" type="noConversion"/>
  </si>
  <si>
    <t>軟體故障</t>
    <phoneticPr fontId="2" type="noConversion"/>
  </si>
  <si>
    <t>不明確或不完整的開發規格</t>
    <phoneticPr fontId="2" type="noConversion"/>
  </si>
  <si>
    <t>硬體類</t>
  </si>
  <si>
    <t>個人電腦</t>
  </si>
  <si>
    <t>未保護的儲存空間</t>
  </si>
  <si>
    <t>存取控制的錯誤配置</t>
  </si>
  <si>
    <t>缺乏正確使用通訊媒體與傳訊的政策</t>
  </si>
  <si>
    <t>對電磁輻射敏感</t>
  </si>
  <si>
    <t>電磁輻射</t>
  </si>
  <si>
    <t>靜電</t>
  </si>
  <si>
    <t>對濕度灰塵及塵土敏感</t>
  </si>
  <si>
    <t>灰塵</t>
  </si>
  <si>
    <t>可攜式個人電腦</t>
  </si>
  <si>
    <t>不足的維護或儲存媒體錯誤的安裝</t>
  </si>
  <si>
    <t>未控制通訊線路</t>
  </si>
  <si>
    <t>由非授權人員存取網路</t>
  </si>
  <si>
    <t>流量分析</t>
  </si>
  <si>
    <t>訊息轉接(rerOuting)</t>
  </si>
  <si>
    <t>撥接線路</t>
  </si>
  <si>
    <t>儲存媒體未加以適當清除即丟棄或再利用</t>
  </si>
  <si>
    <r>
      <t>伺服器</t>
    </r>
    <r>
      <rPr>
        <sz val="12"/>
        <color rgb="FF000000"/>
        <rFont val="Times New Roman"/>
        <family val="1"/>
      </rPr>
      <t>(</t>
    </r>
    <r>
      <rPr>
        <sz val="12"/>
        <color rgb="FF000000"/>
        <rFont val="標楷體"/>
        <family val="4"/>
        <charset val="136"/>
      </rPr>
      <t>對內</t>
    </r>
    <r>
      <rPr>
        <sz val="12"/>
        <color rgb="FF000000"/>
        <rFont val="Times New Roman"/>
        <family val="1"/>
      </rPr>
      <t>&amp;</t>
    </r>
    <r>
      <rPr>
        <sz val="12"/>
        <color rgb="FF000000"/>
        <rFont val="標楷體"/>
        <family val="4"/>
        <charset val="136"/>
      </rPr>
      <t>對外</t>
    </r>
    <r>
      <rPr>
        <sz val="12"/>
        <color rgb="FF000000"/>
        <rFont val="Times New Roman"/>
        <family val="1"/>
      </rPr>
      <t>)</t>
    </r>
    <r>
      <rPr>
        <sz val="12"/>
        <color rgb="FF000000"/>
        <rFont val="標楷體"/>
        <family val="4"/>
        <charset val="136"/>
      </rPr>
      <t>、託管設備</t>
    </r>
  </si>
  <si>
    <t>不足的維護或儲存媒體錯誤的安裝</t>
    <phoneticPr fontId="2" type="noConversion"/>
  </si>
  <si>
    <t>存取控制的錯誤配置</t>
    <phoneticPr fontId="2" type="noConversion"/>
  </si>
  <si>
    <t>單點失效(Single pOint Of failure)</t>
  </si>
  <si>
    <t>通訊服務故障</t>
  </si>
  <si>
    <t>通訊纜線損壞</t>
  </si>
  <si>
    <t>其他硬體、儲存設備</t>
  </si>
  <si>
    <t>資源的不正確使用</t>
    <phoneticPr fontId="2" type="noConversion"/>
  </si>
  <si>
    <t>網路設備</t>
  </si>
  <si>
    <t>不良的佈線</t>
  </si>
  <si>
    <t>傳輸錯誤</t>
  </si>
  <si>
    <t>滲透通訊</t>
  </si>
  <si>
    <t>由非授權的人員使用軟體</t>
  </si>
  <si>
    <t>網路組件故障</t>
  </si>
  <si>
    <t>通訊服務故障</t>
    <phoneticPr fontId="2" type="noConversion"/>
  </si>
  <si>
    <t>不當的網路管理 (路由彈回resilience Of rOuting)</t>
  </si>
  <si>
    <t>流量超載</t>
  </si>
  <si>
    <t>未保護公眾網路連線</t>
  </si>
  <si>
    <t>未保護敏感性資訊流</t>
    <phoneticPr fontId="2" type="noConversion"/>
  </si>
  <si>
    <t>訊息被重組或轉送</t>
  </si>
  <si>
    <t>未保護通行碼資料表</t>
  </si>
  <si>
    <r>
      <t>缺乏識別及鑑別機制</t>
    </r>
    <r>
      <rPr>
        <sz val="12"/>
        <color rgb="FF000000"/>
        <rFont val="Times New Roman"/>
        <family val="1"/>
      </rPr>
      <t>(</t>
    </r>
    <r>
      <rPr>
        <sz val="12"/>
        <color rgb="FF000000"/>
        <rFont val="標楷體"/>
        <family val="4"/>
        <charset val="136"/>
      </rPr>
      <t>如使用者鑑別</t>
    </r>
  </si>
  <si>
    <t>軟體的已知缺陷</t>
    <phoneticPr fontId="2" type="noConversion"/>
  </si>
  <si>
    <t>通訊設備</t>
  </si>
  <si>
    <t>竊聽</t>
  </si>
  <si>
    <t>未保護敏感性資訊流</t>
  </si>
  <si>
    <t>缺乏發送及接收訊息的證據</t>
  </si>
  <si>
    <t>否認服務交易或收送訊息</t>
  </si>
  <si>
    <t>有資料的可攜式儲存媒體</t>
  </si>
  <si>
    <t>缺乏有效的變更控制</t>
  </si>
  <si>
    <r>
      <t>缺乏定期替換計畫</t>
    </r>
    <r>
      <rPr>
        <sz val="12"/>
        <color rgb="FF000000"/>
        <rFont val="Times New Roman"/>
        <family val="1"/>
      </rPr>
      <t>(schemes)</t>
    </r>
  </si>
  <si>
    <t>沒有資料的可攜式儲存媒體</t>
  </si>
  <si>
    <t>電腦保護設施</t>
  </si>
  <si>
    <t>資產群組</t>
    <phoneticPr fontId="2" type="noConversion"/>
  </si>
  <si>
    <t>C</t>
    <phoneticPr fontId="2" type="noConversion"/>
  </si>
  <si>
    <t>I</t>
    <phoneticPr fontId="2" type="noConversion"/>
  </si>
  <si>
    <t>A</t>
    <phoneticPr fontId="2" type="noConversion"/>
  </si>
  <si>
    <t>資產價值等級</t>
  </si>
  <si>
    <t>弱點脆弱度</t>
  </si>
  <si>
    <t>可能性等級</t>
  </si>
  <si>
    <t>因應對策</t>
    <phoneticPr fontId="2" type="noConversion"/>
  </si>
  <si>
    <t>殘餘風險值</t>
    <phoneticPr fontId="2" type="noConversion"/>
  </si>
  <si>
    <t>惡意的軟體</t>
    <phoneticPr fontId="2" type="noConversion"/>
  </si>
  <si>
    <t>1. 短期：以防毒軟體、防火牆及電子郵件過濾，防護惡意程式入侵、,降低因此漏洞被攻擊之風險。
2. 長期：編列預算逐年更新軟體。</t>
    <phoneticPr fontId="2" type="noConversion"/>
  </si>
  <si>
    <t>4*3*1=12</t>
    <phoneticPr fontId="2" type="noConversion"/>
  </si>
  <si>
    <t>防護措施</t>
    <phoneticPr fontId="2" type="noConversion"/>
  </si>
  <si>
    <t>說明</t>
    <phoneticPr fontId="2" type="noConversion"/>
  </si>
  <si>
    <t>對應控制項目</t>
    <phoneticPr fontId="2" type="noConversion"/>
  </si>
  <si>
    <t>電腦機房實體隔離</t>
  </si>
  <si>
    <t>IDC機房獨立空間已實體隔離</t>
    <phoneticPr fontId="2" type="noConversion"/>
  </si>
  <si>
    <t>A.11.1.1, A.11.1.4</t>
    <phoneticPr fontId="2" type="noConversion"/>
  </si>
  <si>
    <t>門禁刷卡系統</t>
  </si>
  <si>
    <t>IDC機房門禁系統，並賦予相關人員進出之權限</t>
    <phoneticPr fontId="2" type="noConversion"/>
  </si>
  <si>
    <t>A.11.1.2</t>
    <phoneticPr fontId="2" type="noConversion"/>
  </si>
  <si>
    <t>視訊監控錄影系統</t>
  </si>
  <si>
    <t>IDC機房視訊監控錄影系統</t>
    <phoneticPr fontId="2" type="noConversion"/>
  </si>
  <si>
    <t>A.10.10.2</t>
  </si>
  <si>
    <t>空調系統</t>
  </si>
  <si>
    <t>IDC機房已有獨立空調系統</t>
    <phoneticPr fontId="2" type="noConversion"/>
  </si>
  <si>
    <t>A.11.1.4</t>
    <phoneticPr fontId="2" type="noConversion"/>
  </si>
  <si>
    <t>不斷電系統</t>
  </si>
  <si>
    <t>IDC市電供應至不斷電系統穩壓後，充電入電瓶再供電至各電腦主機</t>
    <phoneticPr fontId="2" type="noConversion"/>
  </si>
  <si>
    <t>A.11.2.2</t>
    <phoneticPr fontId="2" type="noConversion"/>
  </si>
  <si>
    <t>備用發電機</t>
  </si>
  <si>
    <t>IDC因應市電中斷時之緊急供電</t>
    <phoneticPr fontId="2" type="noConversion"/>
  </si>
  <si>
    <t>A.11.1.4, A.11.2.2</t>
    <phoneticPr fontId="2" type="noConversion"/>
  </si>
  <si>
    <t>消防系統</t>
  </si>
  <si>
    <t>IDC機房消防設備</t>
    <phoneticPr fontId="2" type="noConversion"/>
  </si>
  <si>
    <t>網路管理系統</t>
    <phoneticPr fontId="2" type="noConversion"/>
  </si>
  <si>
    <t>已建立網路管理系統</t>
    <phoneticPr fontId="2" type="noConversion"/>
  </si>
  <si>
    <t>A.13.1.1</t>
    <phoneticPr fontId="2" type="noConversion"/>
  </si>
  <si>
    <t>入侵偵測系統</t>
    <phoneticPr fontId="2" type="noConversion"/>
  </si>
  <si>
    <t>已建立入侵偵測系統</t>
    <phoneticPr fontId="2" type="noConversion"/>
  </si>
  <si>
    <t>A.12.2.1</t>
    <phoneticPr fontId="2" type="noConversion"/>
  </si>
  <si>
    <t>防毒系統</t>
  </si>
  <si>
    <t>已安裝防毒系統</t>
  </si>
  <si>
    <t>弱點掃瞄</t>
  </si>
  <si>
    <t>定期執行弱點掃瞄，並請相關系統管理人員進行修補更新及複測</t>
    <phoneticPr fontId="2" type="noConversion"/>
  </si>
  <si>
    <t>A.12.6.1</t>
    <phoneticPr fontId="2" type="noConversion"/>
  </si>
  <si>
    <t>防火牆</t>
  </si>
  <si>
    <r>
      <t>已建置</t>
    </r>
    <r>
      <rPr>
        <sz val="12"/>
        <rFont val="標楷體"/>
        <family val="4"/>
        <charset val="136"/>
      </rPr>
      <t>防火牆</t>
    </r>
    <phoneticPr fontId="2" type="noConversion"/>
  </si>
  <si>
    <t>A.13.1.3</t>
    <phoneticPr fontId="2" type="noConversion"/>
  </si>
  <si>
    <r>
      <t>路由器、</t>
    </r>
    <r>
      <rPr>
        <sz val="12"/>
        <rFont val="Times New Roman"/>
        <family val="1"/>
      </rPr>
      <t>Switch</t>
    </r>
  </si>
  <si>
    <t>A.11.4.7</t>
    <phoneticPr fontId="2" type="noConversion"/>
  </si>
  <si>
    <t>Syslog Server</t>
  </si>
  <si>
    <t>已建置網路設備 syslog 集中伺服器</t>
    <phoneticPr fontId="2" type="noConversion"/>
  </si>
  <si>
    <t>A.12.4.1, A.12.4.2</t>
    <phoneticPr fontId="2" type="noConversion"/>
  </si>
  <si>
    <t>時間同步機制</t>
  </si>
  <si>
    <t>系統已建置NTP對時機制</t>
    <phoneticPr fontId="2" type="noConversion"/>
  </si>
  <si>
    <t>A.12.4.4</t>
    <phoneticPr fontId="2" type="noConversion"/>
  </si>
  <si>
    <t>備份設備</t>
    <phoneticPr fontId="2" type="noConversion"/>
  </si>
  <si>
    <t>重要系統已準備異地備份資料，設備故障時得以立即restore系統/資料替換</t>
    <phoneticPr fontId="2" type="noConversion"/>
  </si>
  <si>
    <t>A.17.2.1</t>
    <phoneticPr fontId="2" type="noConversion"/>
  </si>
  <si>
    <r>
      <rPr>
        <sz val="12"/>
        <rFont val="標楷體"/>
        <family val="4"/>
        <charset val="136"/>
      </rPr>
      <t>委外定期保養維護</t>
    </r>
    <phoneticPr fontId="2" type="noConversion"/>
  </si>
  <si>
    <r>
      <rPr>
        <sz val="12"/>
        <rFont val="標楷體"/>
        <family val="4"/>
        <charset val="136"/>
      </rPr>
      <t>設備委外廠商定期保養維護</t>
    </r>
    <phoneticPr fontId="2" type="noConversion"/>
  </si>
  <si>
    <t>A.11.2.4</t>
    <phoneticPr fontId="2" type="noConversion"/>
  </si>
  <si>
    <t>資產描述</t>
    <phoneticPr fontId="2" type="noConversion"/>
  </si>
  <si>
    <t>因應對策</t>
  </si>
  <si>
    <t>預定改善時程</t>
    <phoneticPr fontId="2" type="noConversion"/>
  </si>
  <si>
    <r>
      <t>優先性</t>
    </r>
    <r>
      <rPr>
        <b/>
        <sz val="12"/>
        <rFont val="Times New Roman"/>
        <family val="1"/>
      </rPr>
      <t>(</t>
    </r>
    <r>
      <rPr>
        <b/>
        <sz val="12"/>
        <rFont val="標楷體"/>
        <family val="4"/>
        <charset val="136"/>
      </rPr>
      <t>高</t>
    </r>
    <r>
      <rPr>
        <b/>
        <sz val="12"/>
        <rFont val="Times New Roman"/>
        <family val="1"/>
      </rPr>
      <t>/</t>
    </r>
    <r>
      <rPr>
        <b/>
        <sz val="12"/>
        <rFont val="標楷體"/>
        <family val="4"/>
        <charset val="136"/>
      </rPr>
      <t>中</t>
    </r>
    <r>
      <rPr>
        <b/>
        <sz val="12"/>
        <rFont val="Times New Roman"/>
        <family val="1"/>
      </rPr>
      <t>/</t>
    </r>
    <r>
      <rPr>
        <b/>
        <sz val="12"/>
        <rFont val="標楷體"/>
        <family val="4"/>
        <charset val="136"/>
      </rPr>
      <t>低</t>
    </r>
    <r>
      <rPr>
        <b/>
        <sz val="12"/>
        <rFont val="Times New Roman"/>
        <family val="1"/>
      </rPr>
      <t>)</t>
    </r>
    <phoneticPr fontId="2" type="noConversion"/>
  </si>
  <si>
    <t>殘餘風險值</t>
  </si>
  <si>
    <t>負責單位</t>
  </si>
  <si>
    <t>對應控制項目</t>
  </si>
  <si>
    <t>有效性評量機制</t>
  </si>
  <si>
    <r>
      <t>(</t>
    </r>
    <r>
      <rPr>
        <b/>
        <sz val="12"/>
        <rFont val="標楷體"/>
        <family val="4"/>
        <charset val="136"/>
      </rPr>
      <t>執行因應對策後，預測風險值</t>
    </r>
    <r>
      <rPr>
        <b/>
        <sz val="12"/>
        <rFont val="Times New Roman"/>
        <family val="1"/>
      </rPr>
      <t>)</t>
    </r>
  </si>
  <si>
    <t>軟體類</t>
    <phoneticPr fontId="2" type="noConversion"/>
  </si>
  <si>
    <t>GS008</t>
  </si>
  <si>
    <t xml:space="preserve">1. 短期：以防毒軟體、防火牆及電子郵件過濾，防護惡意程式入侵、,降低因此漏洞被攻擊之風險。
2. 長期：編列預算逐年更新軟體。
</t>
    <phoneticPr fontId="2" type="noConversion"/>
  </si>
  <si>
    <t>持續執行</t>
    <phoneticPr fontId="2" type="noConversion"/>
  </si>
  <si>
    <t>高</t>
    <phoneticPr fontId="2" type="noConversion"/>
  </si>
  <si>
    <t>4*3*1=12</t>
  </si>
  <si>
    <t>資訊部</t>
    <phoneticPr fontId="2" type="noConversion"/>
  </si>
  <si>
    <t>A.12.6.1</t>
  </si>
  <si>
    <t xml:space="preserve">1.由管理人員每月檢討資安系統事件，如有警示訊息立即排除。 
2.審酌廠商建議調整設定。 
3.如無發現入侵現象，即為防護措施有效。 </t>
  </si>
  <si>
    <t>簡訊管理系統SQL 2008</t>
    <phoneticPr fontId="2" type="noConversion"/>
  </si>
  <si>
    <t>風險值</t>
    <phoneticPr fontId="2" type="noConversion"/>
  </si>
  <si>
    <t>數量</t>
    <phoneticPr fontId="2" type="noConversion"/>
  </si>
  <si>
    <t>風險總數</t>
    <phoneticPr fontId="2" type="noConversion"/>
  </si>
  <si>
    <r>
      <t>可接收風險值</t>
    </r>
    <r>
      <rPr>
        <b/>
        <sz val="12"/>
        <rFont val="Times New Roman"/>
        <family val="1"/>
      </rPr>
      <t>=</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</si>
</sst>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2"/>
      <name val="新細明體"/>
      <family val="1"/>
      <charset val="136"/>
    </font>
    <font>
      <sz val="12"/>
      <name val="新細明體"/>
      <family val="1"/>
      <charset val="136"/>
    </font>
    <font>
      <sz val="9"/>
      <name val="新細明體"/>
      <family val="1"/>
      <charset val="136"/>
    </font>
    <font>
      <sz val="12"/>
      <name val="標楷體"/>
      <family val="4"/>
      <charset val="136"/>
    </font>
    <font>
      <b/>
      <sz val="9"/>
      <color indexed="81"/>
      <name val="新細明體"/>
      <family val="1"/>
      <charset val="136"/>
    </font>
    <font>
      <b/>
      <sz val="12"/>
      <name val="標楷體"/>
      <family val="4"/>
      <charset val="136"/>
    </font>
    <font>
      <sz val="12"/>
      <name val="Arial"/>
      <family val="2"/>
    </font>
    <font>
      <sz val="10"/>
      <name val="Arial"/>
      <family val="2"/>
    </font>
    <font>
      <b/>
      <sz val="12"/>
      <name val="Tahoma"/>
      <family val="2"/>
    </font>
    <font>
      <sz val="12"/>
      <name val="Tahoma"/>
      <family val="2"/>
    </font>
    <font>
      <b/>
      <sz val="10"/>
      <name val="標楷體"/>
      <family val="4"/>
      <charset val="136"/>
    </font>
    <font>
      <b/>
      <sz val="12"/>
      <name val="Times New Roman"/>
      <family val="1"/>
    </font>
    <font>
      <sz val="12"/>
      <color rgb="FFFF0000"/>
      <name val="標楷體"/>
      <family val="4"/>
      <charset val="136"/>
    </font>
    <font>
      <b/>
      <sz val="14"/>
      <name val="標楷體"/>
      <family val="4"/>
      <charset val="136"/>
    </font>
    <font>
      <sz val="12"/>
      <name val="Times New Roman"/>
      <family val="1"/>
    </font>
    <font>
      <b/>
      <sz val="12"/>
      <name val="微軟正黑體"/>
      <family val="2"/>
      <charset val="136"/>
    </font>
    <font>
      <sz val="12"/>
      <color rgb="FFFF0000"/>
      <name val="微軟正黑體"/>
      <family val="2"/>
      <charset val="136"/>
    </font>
    <font>
      <sz val="10"/>
      <name val="Wingdings"/>
      <charset val="2"/>
    </font>
    <font>
      <sz val="7"/>
      <name val="Times New Roman"/>
      <family val="1"/>
    </font>
    <font>
      <b/>
      <sz val="12"/>
      <color rgb="FF000000"/>
      <name val="標楷體"/>
      <family val="4"/>
      <charset val="136"/>
    </font>
    <font>
      <b/>
      <sz val="12"/>
      <color rgb="FF000000"/>
      <name val="Times New Roman"/>
      <family val="1"/>
    </font>
    <font>
      <sz val="12"/>
      <color rgb="FF000000"/>
      <name val="標楷體"/>
      <family val="4"/>
      <charset val="136"/>
    </font>
    <font>
      <sz val="12"/>
      <color rgb="FF000000"/>
      <name val="Times New Roman"/>
      <family val="1"/>
    </font>
    <font>
      <sz val="12"/>
      <name val="Wingdings"/>
      <charset val="2"/>
    </font>
    <font>
      <strike/>
      <sz val="12"/>
      <name val="標楷體"/>
      <family val="4"/>
      <charset val="136"/>
    </font>
    <font>
      <sz val="12"/>
      <color rgb="FFFF0000"/>
      <name val="新細明體"/>
      <family val="1"/>
      <charset val="136"/>
    </font>
    <font>
      <sz val="12"/>
      <name val="微軟正黑體"/>
      <family val="2"/>
      <charset val="136"/>
    </font>
    <font>
      <sz val="12"/>
      <name val="細明體"/>
      <family val="2"/>
      <charset val="136"/>
    </font>
    <font>
      <b/>
      <sz val="12"/>
      <color rgb="FF000000"/>
      <name val="標楷體"/>
    </font>
  </fonts>
  <fills count="9">
    <fill>
      <patternFill patternType="none"/>
    </fill>
    <fill>
      <patternFill patternType="gray125"/>
    </fill>
    <fill>
      <patternFill patternType="solid">
        <fgColor indexed="27"/>
        <bgColor indexed="64"/>
      </patternFill>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rgb="FFCCFFFF"/>
        <bgColor indexed="64"/>
      </patternFill>
    </fill>
    <fill>
      <patternFill patternType="solid">
        <fgColor theme="0"/>
        <bgColor indexed="64"/>
      </patternFill>
    </fill>
    <fill>
      <patternFill patternType="solid">
        <fgColor rgb="FFFFCC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style="medium">
        <color indexed="64"/>
      </right>
      <top/>
      <bottom style="medium">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rgb="FF000000"/>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ck">
        <color indexed="64"/>
      </top>
      <bottom/>
      <diagonal/>
    </border>
    <border>
      <left style="thin">
        <color indexed="64"/>
      </left>
      <right style="thin">
        <color indexed="64"/>
      </right>
      <top/>
      <bottom style="thick">
        <color rgb="FF000000"/>
      </bottom>
      <diagonal/>
    </border>
    <border>
      <left style="thin">
        <color indexed="64"/>
      </left>
      <right style="thick">
        <color indexed="64"/>
      </right>
      <top style="thick">
        <color indexed="64"/>
      </top>
      <bottom/>
      <diagonal/>
    </border>
    <border>
      <left style="thin">
        <color indexed="64"/>
      </left>
      <right style="thick">
        <color indexed="64"/>
      </right>
      <top/>
      <bottom style="thick">
        <color rgb="FF000000"/>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top/>
      <bottom/>
      <diagonal/>
    </border>
  </borders>
  <cellStyleXfs count="3">
    <xf numFmtId="0" fontId="0" fillId="0" borderId="0">
      <alignment vertical="center"/>
    </xf>
    <xf numFmtId="0" fontId="7" fillId="0" borderId="0"/>
    <xf numFmtId="0" fontId="1" fillId="0" borderId="0"/>
  </cellStyleXfs>
  <cellXfs count="165">
    <xf numFmtId="0" fontId="0" fillId="0" borderId="0" xfId="0">
      <alignment vertical="center"/>
    </xf>
    <xf numFmtId="0" fontId="3" fillId="0" borderId="1" xfId="0" applyFont="1" applyBorder="1" applyAlignment="1">
      <alignment vertical="center" wrapText="1"/>
    </xf>
    <xf numFmtId="0" fontId="3" fillId="0" borderId="1" xfId="0" applyFont="1" applyBorder="1" applyAlignment="1">
      <alignment horizontal="center" vertical="center" wrapText="1"/>
    </xf>
    <xf numFmtId="0" fontId="0" fillId="0" borderId="0" xfId="0" applyAlignment="1"/>
    <xf numFmtId="0" fontId="5" fillId="2" borderId="4" xfId="0"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3" borderId="2" xfId="0" applyFont="1" applyFill="1" applyBorder="1" applyAlignment="1">
      <alignment horizontal="center" vertical="center" wrapText="1"/>
    </xf>
    <xf numFmtId="0" fontId="3" fillId="0" borderId="6" xfId="0" applyFont="1" applyBorder="1" applyAlignment="1">
      <alignment horizontal="center" vertical="center" wrapText="1"/>
    </xf>
    <xf numFmtId="0" fontId="3" fillId="0" borderId="4" xfId="0" applyFont="1" applyBorder="1" applyAlignment="1">
      <alignment horizontal="center" vertical="center" wrapText="1"/>
    </xf>
    <xf numFmtId="0" fontId="6" fillId="0" borderId="10" xfId="0" applyFont="1" applyBorder="1" applyAlignment="1">
      <alignment horizontal="center" vertical="center" wrapText="1"/>
    </xf>
    <xf numFmtId="0" fontId="14" fillId="0" borderId="4" xfId="0" applyFont="1" applyBorder="1" applyAlignment="1">
      <alignment horizontal="center" vertical="center" wrapText="1"/>
    </xf>
    <xf numFmtId="0" fontId="14" fillId="0" borderId="6" xfId="0" applyFont="1" applyBorder="1" applyAlignment="1">
      <alignment horizontal="center" vertical="center" wrapText="1"/>
    </xf>
    <xf numFmtId="0" fontId="6" fillId="0" borderId="6" xfId="0" applyFont="1" applyBorder="1" applyAlignment="1">
      <alignment horizontal="center" vertical="center" wrapText="1"/>
    </xf>
    <xf numFmtId="0" fontId="15" fillId="4" borderId="11" xfId="0" applyFont="1" applyFill="1" applyBorder="1" applyAlignment="1" applyProtection="1">
      <alignment horizontal="center" vertical="center" wrapText="1"/>
      <protection locked="0"/>
    </xf>
    <xf numFmtId="0" fontId="15" fillId="5" borderId="11" xfId="0" applyFont="1" applyFill="1" applyBorder="1" applyAlignment="1" applyProtection="1">
      <alignment horizontal="center" vertical="center" wrapText="1"/>
      <protection locked="0"/>
    </xf>
    <xf numFmtId="0" fontId="15" fillId="5" borderId="12" xfId="0" applyFont="1" applyFill="1" applyBorder="1" applyAlignment="1" applyProtection="1">
      <alignment horizontal="center" vertical="center" wrapText="1"/>
      <protection locked="0"/>
    </xf>
    <xf numFmtId="0" fontId="3" fillId="3" borderId="1" xfId="0" applyFont="1" applyFill="1" applyBorder="1" applyAlignment="1">
      <alignment horizontal="center"/>
    </xf>
    <xf numFmtId="0" fontId="0" fillId="0" borderId="1" xfId="0" applyBorder="1" applyAlignment="1">
      <alignment horizontal="center"/>
    </xf>
    <xf numFmtId="0" fontId="5" fillId="5" borderId="0" xfId="0" applyFont="1" applyFill="1" applyAlignment="1"/>
    <xf numFmtId="0" fontId="0" fillId="0" borderId="0" xfId="0" applyAlignment="1">
      <alignment horizontal="center"/>
    </xf>
    <xf numFmtId="0" fontId="13" fillId="2"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13" fillId="4" borderId="13" xfId="0" applyFont="1" applyFill="1" applyBorder="1" applyAlignment="1">
      <alignment horizontal="center" vertical="center" wrapText="1"/>
    </xf>
    <xf numFmtId="0" fontId="11" fillId="0" borderId="10" xfId="0" applyFont="1" applyBorder="1" applyAlignment="1">
      <alignment horizontal="center" vertical="center" wrapText="1"/>
    </xf>
    <xf numFmtId="0" fontId="3" fillId="0" borderId="10" xfId="0" applyFont="1" applyBorder="1" applyAlignment="1">
      <alignment horizontal="justify" vertical="center" wrapText="1"/>
    </xf>
    <xf numFmtId="0" fontId="3" fillId="0" borderId="0" xfId="0" applyFont="1">
      <alignment vertical="center"/>
    </xf>
    <xf numFmtId="0" fontId="11" fillId="0" borderId="17" xfId="0" applyFont="1" applyBorder="1" applyAlignment="1">
      <alignment horizontal="center" vertical="center" wrapText="1"/>
    </xf>
    <xf numFmtId="0" fontId="5" fillId="0" borderId="17" xfId="0" applyFont="1" applyBorder="1" applyAlignment="1">
      <alignment horizontal="center" vertical="center" wrapText="1"/>
    </xf>
    <xf numFmtId="0" fontId="0" fillId="0" borderId="17" xfId="0" applyBorder="1" applyAlignment="1">
      <alignment vertical="center" wrapText="1"/>
    </xf>
    <xf numFmtId="0" fontId="0" fillId="0" borderId="6" xfId="0" applyBorder="1" applyAlignment="1">
      <alignment vertical="center" wrapText="1"/>
    </xf>
    <xf numFmtId="0" fontId="17" fillId="0" borderId="18" xfId="0" applyFont="1" applyBorder="1" applyAlignment="1">
      <alignment horizontal="justify" vertical="center" wrapText="1"/>
    </xf>
    <xf numFmtId="0" fontId="17" fillId="0" borderId="10" xfId="0" applyFont="1" applyBorder="1" applyAlignment="1">
      <alignment horizontal="justify" vertical="center" wrapText="1"/>
    </xf>
    <xf numFmtId="0" fontId="0" fillId="0" borderId="18" xfId="0" applyBorder="1" applyAlignment="1">
      <alignment vertical="center" wrapText="1"/>
    </xf>
    <xf numFmtId="0" fontId="0" fillId="0" borderId="10" xfId="0" applyBorder="1" applyAlignment="1">
      <alignment vertical="center" wrapText="1"/>
    </xf>
    <xf numFmtId="0" fontId="19" fillId="0" borderId="4" xfId="0" applyFont="1" applyBorder="1" applyAlignment="1">
      <alignment horizontal="center" vertical="center"/>
    </xf>
    <xf numFmtId="0" fontId="19" fillId="0" borderId="24" xfId="0" applyFont="1" applyBorder="1" applyAlignment="1">
      <alignment horizontal="center" vertical="center" wrapText="1"/>
    </xf>
    <xf numFmtId="0" fontId="20" fillId="0" borderId="24" xfId="0" applyFont="1" applyBorder="1" applyAlignment="1">
      <alignment horizontal="center" vertical="center" wrapText="1"/>
    </xf>
    <xf numFmtId="0" fontId="21" fillId="0" borderId="10" xfId="0" applyFont="1" applyBorder="1" applyAlignment="1">
      <alignment vertical="center" wrapText="1"/>
    </xf>
    <xf numFmtId="0" fontId="22" fillId="0" borderId="10" xfId="0" applyFont="1" applyBorder="1" applyAlignment="1">
      <alignment horizontal="center" vertical="center" wrapText="1"/>
    </xf>
    <xf numFmtId="0" fontId="21" fillId="0" borderId="10" xfId="0" applyFont="1" applyBorder="1">
      <alignment vertical="center"/>
    </xf>
    <xf numFmtId="0" fontId="22" fillId="0" borderId="10" xfId="0" applyFont="1" applyBorder="1" applyAlignment="1">
      <alignment horizontal="center" vertical="center"/>
    </xf>
    <xf numFmtId="0" fontId="3" fillId="0" borderId="0" xfId="0" applyFont="1" applyAlignment="1">
      <alignment horizontal="left" vertical="center" indent="4"/>
    </xf>
    <xf numFmtId="0" fontId="23" fillId="0" borderId="0" xfId="0" applyFont="1" applyAlignment="1">
      <alignment horizontal="left" vertical="center" indent="7"/>
    </xf>
    <xf numFmtId="0" fontId="5" fillId="0" borderId="6"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lignment vertical="center"/>
    </xf>
    <xf numFmtId="0" fontId="13" fillId="2" borderId="1" xfId="0" applyFont="1" applyFill="1" applyBorder="1" applyAlignment="1">
      <alignment vertical="center" wrapText="1"/>
    </xf>
    <xf numFmtId="0" fontId="3" fillId="0" borderId="0" xfId="0" applyFont="1" applyAlignment="1">
      <alignment horizontal="center" vertical="center"/>
    </xf>
    <xf numFmtId="0" fontId="5" fillId="6" borderId="1" xfId="0" applyFont="1" applyFill="1" applyBorder="1" applyAlignment="1">
      <alignment vertical="center" wrapText="1"/>
    </xf>
    <xf numFmtId="0" fontId="13" fillId="5" borderId="1" xfId="0" applyFont="1" applyFill="1" applyBorder="1" applyAlignment="1" applyProtection="1">
      <alignment vertical="center" wrapText="1"/>
      <protection locked="0"/>
    </xf>
    <xf numFmtId="0" fontId="12" fillId="0" borderId="1" xfId="0" applyFont="1" applyBorder="1">
      <alignment vertical="center"/>
    </xf>
    <xf numFmtId="0" fontId="0" fillId="0" borderId="0" xfId="0" applyAlignment="1">
      <alignment vertical="center" wrapText="1"/>
    </xf>
    <xf numFmtId="0" fontId="0" fillId="0" borderId="1" xfId="0" applyBorder="1">
      <alignment vertical="center"/>
    </xf>
    <xf numFmtId="0" fontId="15" fillId="4" borderId="25" xfId="0" applyFont="1" applyFill="1" applyBorder="1" applyAlignment="1" applyProtection="1">
      <alignment horizontal="center" vertical="center" wrapText="1"/>
      <protection locked="0"/>
    </xf>
    <xf numFmtId="0" fontId="16" fillId="0" borderId="0" xfId="0" applyFont="1" applyAlignment="1">
      <alignment horizontal="center" vertical="center" wrapText="1"/>
    </xf>
    <xf numFmtId="0" fontId="0" fillId="0" borderId="3" xfId="0" applyBorder="1">
      <alignment vertical="center"/>
    </xf>
    <xf numFmtId="0" fontId="16" fillId="0" borderId="26" xfId="0" applyFont="1" applyBorder="1" applyAlignment="1">
      <alignment horizontal="center" vertical="center" wrapText="1"/>
    </xf>
    <xf numFmtId="0" fontId="16" fillId="0" borderId="29" xfId="0" applyFont="1" applyBorder="1" applyAlignment="1">
      <alignment horizontal="center" vertical="center" wrapText="1"/>
    </xf>
    <xf numFmtId="0" fontId="6" fillId="0" borderId="0" xfId="0" applyFont="1" applyAlignment="1">
      <alignment vertical="center" wrapText="1"/>
    </xf>
    <xf numFmtId="0" fontId="3" fillId="0" borderId="1" xfId="0" applyFont="1" applyBorder="1" applyAlignment="1">
      <alignment horizontal="left" vertical="center" wrapText="1"/>
    </xf>
    <xf numFmtId="0" fontId="6" fillId="0" borderId="1" xfId="0" applyFont="1" applyBorder="1" applyAlignment="1">
      <alignment horizontal="center" vertical="center" wrapText="1"/>
    </xf>
    <xf numFmtId="0" fontId="24" fillId="0" borderId="1" xfId="0" applyFont="1" applyBorder="1" applyAlignment="1">
      <alignment vertical="center" wrapText="1"/>
    </xf>
    <xf numFmtId="0" fontId="24" fillId="0" borderId="1" xfId="0" applyFont="1" applyBorder="1" applyAlignment="1">
      <alignment horizontal="center" vertical="center" wrapText="1"/>
    </xf>
    <xf numFmtId="0" fontId="24" fillId="0" borderId="1" xfId="0" applyFont="1" applyBorder="1" applyAlignment="1">
      <alignment horizontal="center" vertical="center"/>
    </xf>
    <xf numFmtId="0" fontId="24" fillId="0" borderId="0" xfId="0" applyFont="1" applyAlignment="1">
      <alignment vertical="center" wrapText="1"/>
    </xf>
    <xf numFmtId="0" fontId="6" fillId="0" borderId="0" xfId="0" applyFont="1" applyAlignment="1">
      <alignment horizontal="center" vertical="center" wrapText="1"/>
    </xf>
    <xf numFmtId="0" fontId="6" fillId="0" borderId="1" xfId="0" applyFont="1" applyBorder="1" applyAlignment="1">
      <alignment vertical="center" wrapText="1"/>
    </xf>
    <xf numFmtId="0" fontId="3" fillId="0" borderId="0" xfId="0" applyFont="1" applyAlignment="1">
      <alignment horizontal="left" vertical="center" wrapText="1"/>
    </xf>
    <xf numFmtId="0" fontId="6" fillId="0" borderId="0" xfId="0" applyFont="1" applyAlignment="1">
      <alignment horizontal="center" vertical="center"/>
    </xf>
    <xf numFmtId="0" fontId="24" fillId="0" borderId="1" xfId="0" applyFont="1" applyBorder="1">
      <alignment vertical="center"/>
    </xf>
    <xf numFmtId="0" fontId="3" fillId="0" borderId="10" xfId="0" applyFont="1" applyBorder="1" applyAlignment="1">
      <alignment horizontal="center" wrapText="1"/>
    </xf>
    <xf numFmtId="0" fontId="8" fillId="0" borderId="2" xfId="0" applyFont="1" applyBorder="1" applyAlignment="1">
      <alignment horizontal="center" vertical="center" wrapText="1"/>
    </xf>
    <xf numFmtId="0" fontId="6" fillId="0" borderId="38" xfId="0" applyFont="1" applyBorder="1" applyAlignment="1">
      <alignment vertical="center" wrapText="1"/>
    </xf>
    <xf numFmtId="0" fontId="6" fillId="0" borderId="39" xfId="0" applyFont="1" applyBorder="1" applyAlignment="1">
      <alignment horizontal="center" vertical="center"/>
    </xf>
    <xf numFmtId="0" fontId="3" fillId="0" borderId="39" xfId="0" applyFont="1" applyBorder="1" applyAlignment="1">
      <alignment horizontal="center" vertical="center"/>
    </xf>
    <xf numFmtId="0" fontId="24" fillId="7" borderId="1" xfId="0" applyFont="1" applyFill="1" applyBorder="1" applyAlignment="1">
      <alignment horizontal="left" vertical="center" wrapText="1"/>
    </xf>
    <xf numFmtId="0" fontId="24" fillId="0" borderId="0" xfId="0" applyFont="1">
      <alignment vertical="center"/>
    </xf>
    <xf numFmtId="0" fontId="12" fillId="7" borderId="1" xfId="0" applyFont="1" applyFill="1" applyBorder="1" applyAlignment="1">
      <alignment horizontal="left" vertical="center" wrapText="1"/>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center" vertical="center"/>
    </xf>
    <xf numFmtId="0" fontId="12" fillId="0" borderId="0" xfId="0" applyFont="1">
      <alignment vertical="center"/>
    </xf>
    <xf numFmtId="0" fontId="6" fillId="0" borderId="35" xfId="0" applyFont="1" applyBorder="1" applyAlignment="1">
      <alignment vertical="center" wrapText="1"/>
    </xf>
    <xf numFmtId="0" fontId="6" fillId="0" borderId="36" xfId="0" applyFont="1" applyBorder="1" applyAlignment="1">
      <alignment vertical="center" wrapText="1"/>
    </xf>
    <xf numFmtId="0" fontId="3" fillId="0" borderId="36" xfId="0" applyFont="1" applyBorder="1" applyAlignment="1">
      <alignment vertical="center" wrapText="1"/>
    </xf>
    <xf numFmtId="0" fontId="3" fillId="0" borderId="36" xfId="0" applyFont="1" applyBorder="1" applyAlignment="1">
      <alignment horizontal="center" vertical="center" wrapText="1"/>
    </xf>
    <xf numFmtId="0" fontId="6" fillId="0" borderId="36" xfId="0" applyFont="1" applyBorder="1" applyAlignment="1">
      <alignment horizontal="center" vertical="center" wrapText="1"/>
    </xf>
    <xf numFmtId="0" fontId="6" fillId="0" borderId="37" xfId="0" applyFont="1" applyBorder="1" applyAlignment="1">
      <alignment horizontal="center" vertical="center"/>
    </xf>
    <xf numFmtId="0" fontId="26" fillId="0" borderId="7" xfId="0" applyFont="1" applyBorder="1" applyAlignment="1">
      <alignment horizontal="center" vertical="center" wrapText="1"/>
    </xf>
    <xf numFmtId="0" fontId="26" fillId="0" borderId="8" xfId="0" applyFont="1" applyBorder="1" applyAlignment="1">
      <alignment horizontal="center" vertical="center" wrapText="1"/>
    </xf>
    <xf numFmtId="0" fontId="26" fillId="0" borderId="8" xfId="0" applyFont="1" applyBorder="1" applyAlignment="1">
      <alignment horizontal="center" vertical="center"/>
    </xf>
    <xf numFmtId="0" fontId="26" fillId="0" borderId="8" xfId="0" applyFont="1" applyBorder="1" applyAlignment="1">
      <alignment vertical="center" wrapText="1"/>
    </xf>
    <xf numFmtId="0" fontId="26" fillId="0" borderId="8" xfId="0" applyFont="1" applyBorder="1">
      <alignment vertical="center"/>
    </xf>
    <xf numFmtId="0" fontId="26" fillId="0" borderId="28" xfId="0" applyFont="1" applyBorder="1" applyAlignment="1">
      <alignment horizontal="center" vertical="center" wrapText="1"/>
    </xf>
    <xf numFmtId="0" fontId="26" fillId="0" borderId="1" xfId="0" applyFont="1" applyBorder="1" applyAlignment="1">
      <alignment horizontal="center" vertical="center" wrapText="1"/>
    </xf>
    <xf numFmtId="0" fontId="26" fillId="0" borderId="1" xfId="0" applyFont="1" applyBorder="1" applyAlignment="1">
      <alignment horizontal="center" vertical="center"/>
    </xf>
    <xf numFmtId="0" fontId="26" fillId="0" borderId="1" xfId="0" applyFont="1" applyBorder="1" applyAlignment="1">
      <alignment vertical="center" wrapText="1"/>
    </xf>
    <xf numFmtId="0" fontId="26" fillId="0" borderId="1" xfId="0" applyFont="1" applyBorder="1">
      <alignment vertical="center"/>
    </xf>
    <xf numFmtId="0" fontId="26" fillId="0" borderId="27" xfId="0" applyFont="1" applyBorder="1" applyAlignment="1">
      <alignment vertical="center" wrapText="1"/>
    </xf>
    <xf numFmtId="0" fontId="25" fillId="0" borderId="0" xfId="0" applyFont="1" applyAlignment="1">
      <alignment horizontal="center" vertical="center" wrapText="1"/>
    </xf>
    <xf numFmtId="0" fontId="26" fillId="0" borderId="7" xfId="0" applyFont="1" applyBorder="1" applyAlignment="1">
      <alignment horizontal="left" vertical="center" wrapText="1"/>
    </xf>
    <xf numFmtId="0" fontId="26" fillId="0" borderId="9" xfId="0" applyFont="1" applyBorder="1" applyAlignment="1">
      <alignment vertical="top" wrapText="1"/>
    </xf>
    <xf numFmtId="0" fontId="27" fillId="0" borderId="0" xfId="0" applyFont="1" applyAlignment="1">
      <alignment vertical="center" wrapText="1"/>
    </xf>
    <xf numFmtId="0" fontId="0" fillId="0" borderId="45" xfId="0" applyBorder="1">
      <alignment vertical="center"/>
    </xf>
    <xf numFmtId="0" fontId="0" fillId="0" borderId="18" xfId="0" applyBorder="1">
      <alignment vertical="center"/>
    </xf>
    <xf numFmtId="0" fontId="26" fillId="0" borderId="44" xfId="0" applyFont="1" applyBorder="1" applyAlignment="1">
      <alignment vertical="top" wrapText="1"/>
    </xf>
    <xf numFmtId="0" fontId="26" fillId="0" borderId="40" xfId="0" applyFont="1" applyBorder="1" applyAlignment="1">
      <alignment vertical="center" wrapText="1"/>
    </xf>
    <xf numFmtId="0" fontId="26" fillId="0" borderId="40" xfId="0" applyFont="1" applyBorder="1" applyAlignment="1">
      <alignment vertical="top" wrapText="1"/>
    </xf>
    <xf numFmtId="49" fontId="26" fillId="0" borderId="40" xfId="0" applyNumberFormat="1" applyFont="1" applyBorder="1" applyAlignment="1">
      <alignment vertical="center" wrapText="1"/>
    </xf>
    <xf numFmtId="0" fontId="11" fillId="2" borderId="4" xfId="0" applyFont="1" applyFill="1" applyBorder="1" applyAlignment="1">
      <alignment horizontal="center" vertical="center" wrapText="1"/>
    </xf>
    <xf numFmtId="0" fontId="26" fillId="0" borderId="1" xfId="0" applyFont="1" applyBorder="1" applyAlignment="1">
      <alignment vertical="top" wrapText="1"/>
    </xf>
    <xf numFmtId="49" fontId="26" fillId="0" borderId="1" xfId="0" applyNumberFormat="1" applyFont="1" applyBorder="1" applyAlignment="1">
      <alignment vertical="center" wrapText="1"/>
    </xf>
    <xf numFmtId="0" fontId="26" fillId="0" borderId="38" xfId="0" applyFont="1" applyBorder="1" applyAlignment="1">
      <alignment horizontal="left" vertical="center" wrapText="1"/>
    </xf>
    <xf numFmtId="0" fontId="26" fillId="0" borderId="39" xfId="0" applyFont="1" applyBorder="1" applyAlignment="1">
      <alignment vertical="center" wrapText="1"/>
    </xf>
    <xf numFmtId="0" fontId="26" fillId="0" borderId="41" xfId="0" applyFont="1" applyBorder="1" applyAlignment="1">
      <alignment vertical="center" wrapText="1"/>
    </xf>
    <xf numFmtId="0" fontId="5" fillId="0" borderId="37" xfId="0" applyFont="1" applyBorder="1" applyAlignment="1">
      <alignment horizontal="center" vertical="center" wrapText="1"/>
    </xf>
    <xf numFmtId="0" fontId="5" fillId="0" borderId="43" xfId="0" applyFont="1" applyBorder="1" applyAlignment="1">
      <alignment horizontal="center" vertical="center" wrapText="1"/>
    </xf>
    <xf numFmtId="0" fontId="15" fillId="0" borderId="34" xfId="0" applyFont="1" applyBorder="1" applyAlignment="1">
      <alignment horizontal="right" vertical="center" wrapText="1"/>
    </xf>
    <xf numFmtId="0" fontId="8" fillId="0" borderId="0" xfId="0" applyFont="1" applyAlignment="1">
      <alignment horizontal="right" vertical="center" wrapText="1"/>
    </xf>
    <xf numFmtId="0" fontId="9" fillId="0" borderId="0" xfId="0" applyFont="1" applyAlignment="1">
      <alignment horizontal="right" vertical="center" wrapText="1"/>
    </xf>
    <xf numFmtId="0" fontId="0" fillId="0" borderId="0" xfId="0" applyAlignment="1">
      <alignment horizontal="right" vertical="center"/>
    </xf>
    <xf numFmtId="0" fontId="8" fillId="0" borderId="35" xfId="0" applyFont="1" applyBorder="1" applyAlignment="1">
      <alignment horizontal="center" vertical="center" wrapText="1"/>
    </xf>
    <xf numFmtId="0" fontId="9" fillId="0" borderId="42" xfId="0" applyFont="1" applyBorder="1" applyAlignment="1">
      <alignment horizontal="center" vertical="center" wrapText="1"/>
    </xf>
    <xf numFmtId="0" fontId="8" fillId="0" borderId="36" xfId="0" applyFont="1" applyBorder="1" applyAlignment="1">
      <alignment horizontal="center" vertical="center" wrapText="1"/>
    </xf>
    <xf numFmtId="0" fontId="9" fillId="0" borderId="2" xfId="0" applyFont="1" applyBorder="1" applyAlignment="1">
      <alignment horizontal="center" vertical="center" wrapText="1"/>
    </xf>
    <xf numFmtId="0" fontId="0" fillId="0" borderId="2" xfId="0" applyBorder="1" applyAlignment="1">
      <alignment horizontal="center" vertical="center" wrapText="1"/>
    </xf>
    <xf numFmtId="0" fontId="17" fillId="0" borderId="5" xfId="0" applyFont="1" applyBorder="1" applyAlignment="1">
      <alignment horizontal="justify" vertical="center" wrapText="1"/>
    </xf>
    <xf numFmtId="0" fontId="17" fillId="0" borderId="6" xfId="0" applyFont="1" applyBorder="1" applyAlignment="1">
      <alignment horizontal="justify" vertical="center" wrapText="1"/>
    </xf>
    <xf numFmtId="0" fontId="3" fillId="0" borderId="21" xfId="0" applyFont="1" applyBorder="1" applyAlignment="1">
      <alignment vertical="center" wrapText="1"/>
    </xf>
    <xf numFmtId="0" fontId="3" fillId="0" borderId="22" xfId="0" applyFont="1" applyBorder="1" applyAlignment="1">
      <alignment vertical="center" wrapText="1"/>
    </xf>
    <xf numFmtId="0" fontId="3" fillId="0" borderId="23" xfId="0" applyFont="1" applyBorder="1" applyAlignment="1">
      <alignment vertical="center" wrapText="1"/>
    </xf>
    <xf numFmtId="0" fontId="3" fillId="0" borderId="19" xfId="0" applyFont="1" applyBorder="1" applyAlignment="1">
      <alignment horizontal="left" vertical="center" wrapText="1" indent="2"/>
    </xf>
    <xf numFmtId="0" fontId="3" fillId="0" borderId="20" xfId="0" applyFont="1" applyBorder="1" applyAlignment="1">
      <alignment horizontal="left" vertical="center" wrapText="1" indent="2"/>
    </xf>
    <xf numFmtId="0" fontId="3" fillId="0" borderId="10" xfId="0" applyFont="1" applyBorder="1" applyAlignment="1">
      <alignment horizontal="left" vertical="center" wrapText="1" indent="2"/>
    </xf>
    <xf numFmtId="0" fontId="5" fillId="8" borderId="14" xfId="0" applyFont="1" applyFill="1" applyBorder="1" applyAlignment="1">
      <alignment horizontal="center" vertical="center" wrapText="1"/>
    </xf>
    <xf numFmtId="0" fontId="5" fillId="8" borderId="15" xfId="0" applyFont="1" applyFill="1" applyBorder="1" applyAlignment="1">
      <alignment horizontal="center" vertical="center" wrapText="1"/>
    </xf>
    <xf numFmtId="0" fontId="5" fillId="8" borderId="16" xfId="0" applyFont="1" applyFill="1" applyBorder="1" applyAlignment="1">
      <alignment horizontal="center" vertical="center" wrapText="1"/>
    </xf>
    <xf numFmtId="0" fontId="17" fillId="0" borderId="17" xfId="0" applyFont="1" applyBorder="1" applyAlignment="1">
      <alignment horizontal="justify" vertical="center" wrapText="1"/>
    </xf>
    <xf numFmtId="0" fontId="19" fillId="8" borderId="14" xfId="0" applyFont="1" applyFill="1" applyBorder="1" applyAlignment="1">
      <alignment horizontal="center" vertical="center" wrapText="1"/>
    </xf>
    <xf numFmtId="0" fontId="19" fillId="8" borderId="15" xfId="0" applyFont="1" applyFill="1" applyBorder="1" applyAlignment="1">
      <alignment horizontal="center" vertical="center" wrapText="1"/>
    </xf>
    <xf numFmtId="0" fontId="19" fillId="8" borderId="16" xfId="0" applyFont="1" applyFill="1" applyBorder="1" applyAlignment="1">
      <alignment horizontal="center" vertical="center" wrapText="1"/>
    </xf>
    <xf numFmtId="0" fontId="21" fillId="0" borderId="5" xfId="0" applyFont="1" applyBorder="1" applyAlignment="1">
      <alignment horizontal="center" vertical="center" wrapText="1"/>
    </xf>
    <xf numFmtId="0" fontId="21" fillId="0" borderId="17" xfId="0" applyFont="1" applyBorder="1" applyAlignment="1">
      <alignment horizontal="center" vertical="center" wrapText="1"/>
    </xf>
    <xf numFmtId="0" fontId="21" fillId="0" borderId="6" xfId="0" applyFont="1" applyBorder="1" applyAlignment="1">
      <alignment horizontal="center" vertical="center" wrapText="1"/>
    </xf>
    <xf numFmtId="0" fontId="21" fillId="0" borderId="5" xfId="0" applyFont="1" applyBorder="1" applyAlignment="1">
      <alignment vertical="center" wrapText="1"/>
    </xf>
    <xf numFmtId="0" fontId="21" fillId="0" borderId="6" xfId="0" applyFont="1" applyBorder="1" applyAlignment="1">
      <alignment vertical="center" wrapText="1"/>
    </xf>
    <xf numFmtId="0" fontId="21" fillId="0" borderId="17" xfId="0" applyFont="1" applyBorder="1" applyAlignment="1">
      <alignment vertical="center" wrapText="1"/>
    </xf>
    <xf numFmtId="0" fontId="21" fillId="0" borderId="5" xfId="0" applyFont="1" applyBorder="1" applyAlignment="1">
      <alignment horizontal="center" vertical="center"/>
    </xf>
    <xf numFmtId="0" fontId="21" fillId="0" borderId="17" xfId="0" applyFont="1" applyBorder="1" applyAlignment="1">
      <alignment horizontal="center" vertical="center"/>
    </xf>
    <xf numFmtId="0" fontId="21" fillId="0" borderId="6" xfId="0" applyFont="1" applyBorder="1" applyAlignment="1">
      <alignment horizontal="center" vertical="center"/>
    </xf>
    <xf numFmtId="0" fontId="22" fillId="0" borderId="5" xfId="0" applyFont="1" applyBorder="1" applyAlignment="1">
      <alignment horizontal="center" vertical="center" wrapText="1"/>
    </xf>
    <xf numFmtId="0" fontId="22" fillId="0" borderId="17" xfId="0" applyFont="1" applyBorder="1" applyAlignment="1">
      <alignment horizontal="center" vertical="center" wrapText="1"/>
    </xf>
    <xf numFmtId="0" fontId="22" fillId="0" borderId="6" xfId="0" applyFont="1" applyBorder="1" applyAlignment="1">
      <alignment horizontal="center" vertical="center" wrapText="1"/>
    </xf>
    <xf numFmtId="0" fontId="26" fillId="0" borderId="8" xfId="0" applyFont="1" applyBorder="1" applyAlignment="1">
      <alignment vertical="top" wrapText="1"/>
    </xf>
    <xf numFmtId="0" fontId="26" fillId="0" borderId="27" xfId="0" applyFont="1" applyBorder="1" applyAlignment="1">
      <alignment vertical="top" wrapText="1"/>
    </xf>
    <xf numFmtId="49" fontId="26" fillId="0" borderId="8" xfId="0" applyNumberFormat="1" applyFont="1" applyBorder="1" applyAlignment="1">
      <alignment horizontal="center" vertical="center" wrapText="1"/>
    </xf>
    <xf numFmtId="49" fontId="26" fillId="0" borderId="27" xfId="0" applyNumberFormat="1" applyFont="1" applyBorder="1" applyAlignment="1">
      <alignment horizontal="center" vertical="center" wrapText="1"/>
    </xf>
    <xf numFmtId="0" fontId="26" fillId="0" borderId="8" xfId="0" applyFont="1" applyBorder="1" applyAlignment="1">
      <alignment vertical="center" wrapText="1"/>
    </xf>
    <xf numFmtId="0" fontId="26" fillId="0" borderId="27" xfId="0" applyFont="1" applyBorder="1" applyAlignment="1">
      <alignment vertical="center" wrapText="1"/>
    </xf>
    <xf numFmtId="0" fontId="26" fillId="0" borderId="30" xfId="0" applyFont="1" applyBorder="1" applyAlignment="1">
      <alignment vertical="center" wrapText="1"/>
    </xf>
    <xf numFmtId="0" fontId="26" fillId="0" borderId="31" xfId="0" applyFont="1" applyBorder="1" applyAlignment="1">
      <alignment vertical="center" wrapText="1"/>
    </xf>
    <xf numFmtId="0" fontId="26" fillId="0" borderId="32" xfId="0" applyFont="1" applyBorder="1" applyAlignment="1">
      <alignment vertical="center" wrapText="1"/>
    </xf>
    <xf numFmtId="0" fontId="26" fillId="0" borderId="33" xfId="0" applyFont="1" applyBorder="1" applyAlignment="1">
      <alignment vertical="center" wrapText="1"/>
    </xf>
    <xf numFmtId="0" fontId="5" fillId="2" borderId="4" xfId="0" applyFont="1" applyFill="1" applyBorder="1" applyAlignment="1">
      <alignment horizontal="center" vertical="center" wrapText="1"/>
    </xf>
    <xf numFmtId="0" fontId="28" fillId="0" borderId="2" xfId="0" applyFont="1" applyBorder="1" applyAlignment="1">
      <alignment horizontal="center" vertical="center" wrapText="1"/>
    </xf>
  </cellXfs>
  <cellStyles count="3">
    <cellStyle name="一般" xfId="0" builtinId="0"/>
    <cellStyle name="一般 2" xfId="1" xr:uid="{00000000-0005-0000-0000-000001000000}"/>
    <cellStyle name="一般 3"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01883599404254"/>
          <c:y val="0.27015147291793595"/>
          <c:w val="0.81235436760056479"/>
          <c:h val="0.43129445676372219"/>
        </c:manualLayout>
      </c:layout>
      <c:lineChart>
        <c:grouping val="standard"/>
        <c:varyColors val="0"/>
        <c:ser>
          <c:idx val="0"/>
          <c:order val="0"/>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TW"/>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風險分布!$A$2:$A$18</c:f>
              <c:numCache>
                <c:formatCode>General</c:formatCode>
                <c:ptCount val="17"/>
                <c:pt idx="0">
                  <c:v>56</c:v>
                </c:pt>
                <c:pt idx="1">
                  <c:v>48</c:v>
                </c:pt>
                <c:pt idx="2">
                  <c:v>44</c:v>
                </c:pt>
                <c:pt idx="3">
                  <c:v>40</c:v>
                </c:pt>
                <c:pt idx="4">
                  <c:v>36</c:v>
                </c:pt>
                <c:pt idx="5">
                  <c:v>32</c:v>
                </c:pt>
                <c:pt idx="6">
                  <c:v>28</c:v>
                </c:pt>
                <c:pt idx="7">
                  <c:v>24</c:v>
                </c:pt>
                <c:pt idx="8">
                  <c:v>20</c:v>
                </c:pt>
                <c:pt idx="9">
                  <c:v>16</c:v>
                </c:pt>
                <c:pt idx="10">
                  <c:v>12</c:v>
                </c:pt>
                <c:pt idx="11">
                  <c:v>8</c:v>
                </c:pt>
                <c:pt idx="12">
                  <c:v>6</c:v>
                </c:pt>
                <c:pt idx="13">
                  <c:v>4</c:v>
                </c:pt>
                <c:pt idx="14">
                  <c:v>3</c:v>
                </c:pt>
                <c:pt idx="15">
                  <c:v>2</c:v>
                </c:pt>
                <c:pt idx="16">
                  <c:v>1</c:v>
                </c:pt>
              </c:numCache>
            </c:numRef>
          </c:cat>
          <c:val>
            <c:numRef>
              <c:f>風險分布!$B$2:$B$18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extLst>
            <c:ext xmlns:c16="http://schemas.microsoft.com/office/drawing/2014/chart" uri="{C3380CC4-5D6E-409C-BE32-E72D297353CC}">
              <c16:uniqueId val="{00000000-B645-415B-A577-FC4DBD8AB582}"/>
            </c:ext>
          </c:extLst>
        </c:ser>
        <c:dLbls>
          <c:dLblPos val="ctr"/>
          <c:showLegendKey val="0"/>
          <c:showVal val="1"/>
          <c:showCatName val="0"/>
          <c:showSerName val="0"/>
          <c:showPercent val="0"/>
          <c:showBubbleSize val="0"/>
        </c:dLbls>
        <c:marker val="1"/>
        <c:smooth val="0"/>
        <c:axId val="163403648"/>
        <c:axId val="164622720"/>
      </c:lineChart>
      <c:catAx>
        <c:axId val="163403648"/>
        <c:scaling>
          <c:orientation val="minMax"/>
        </c:scaling>
        <c:delete val="0"/>
        <c:axPos val="b"/>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標楷體" panose="03000509000000000000" pitchFamily="65" charset="-120"/>
                    <a:ea typeface="標楷體" panose="03000509000000000000" pitchFamily="65" charset="-120"/>
                    <a:cs typeface="+mn-cs"/>
                  </a:defRPr>
                </a:pPr>
                <a:r>
                  <a:rPr lang="zh-TW" altLang="en-US" sz="1800">
                    <a:latin typeface="標楷體" panose="03000509000000000000" pitchFamily="65" charset="-120"/>
                    <a:ea typeface="標楷體" panose="03000509000000000000" pitchFamily="65" charset="-120"/>
                  </a:rPr>
                  <a:t>風險值</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標楷體" panose="03000509000000000000" pitchFamily="65" charset="-120"/>
                  <a:ea typeface="標楷體" panose="03000509000000000000" pitchFamily="65" charset="-120"/>
                  <a:cs typeface="+mn-cs"/>
                </a:defRPr>
              </a:pPr>
              <a:endParaRPr lang="zh-TW"/>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0" spcFirstLastPara="1" vertOverflow="ellipsis"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zh-TW"/>
          </a:p>
        </c:txPr>
        <c:crossAx val="164622720"/>
        <c:crosses val="autoZero"/>
        <c:auto val="1"/>
        <c:lblAlgn val="ctr"/>
        <c:lblOffset val="100"/>
        <c:tickLblSkip val="1"/>
        <c:tickMarkSkip val="1"/>
        <c:noMultiLvlLbl val="0"/>
      </c:catAx>
      <c:valAx>
        <c:axId val="16462272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zh-TW" altLang="en-US" sz="1800">
                    <a:latin typeface="標楷體" panose="03000509000000000000" pitchFamily="65" charset="-120"/>
                    <a:ea typeface="標楷體" panose="03000509000000000000" pitchFamily="65" charset="-120"/>
                  </a:rPr>
                  <a:t>數量</a:t>
                </a:r>
              </a:p>
            </c:rich>
          </c:tx>
          <c:layout>
            <c:manualLayout>
              <c:xMode val="edge"/>
              <c:yMode val="edge"/>
              <c:x val="4.6333175435930893E-2"/>
              <c:y val="0.35475437251759462"/>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zh-TW"/>
            </a:p>
          </c:txPr>
        </c:title>
        <c:numFmt formatCode="General" sourceLinked="1"/>
        <c:majorTickMark val="none"/>
        <c:minorTickMark val="none"/>
        <c:tickLblPos val="nextTo"/>
        <c:crossAx val="163403648"/>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zh-TW"/>
    </a:p>
  </c:txPr>
  <c:printSettings>
    <c:headerFooter alignWithMargins="0"/>
    <c:pageMargins b="1" l="0.75000000000000122" r="0.75000000000000122"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95250</xdr:colOff>
      <xdr:row>0</xdr:row>
      <xdr:rowOff>66675</xdr:rowOff>
    </xdr:from>
    <xdr:to>
      <xdr:col>10</xdr:col>
      <xdr:colOff>190500</xdr:colOff>
      <xdr:row>17</xdr:row>
      <xdr:rowOff>200025</xdr:rowOff>
    </xdr:to>
    <xdr:graphicFrame macro="">
      <xdr:nvGraphicFramePr>
        <xdr:cNvPr id="2" name="Chart 1">
          <a:extLst>
            <a:ext uri="{FF2B5EF4-FFF2-40B4-BE49-F238E27FC236}">
              <a16:creationId xmlns:a16="http://schemas.microsoft.com/office/drawing/2014/main" id="{782E8FBC-0EEF-48DF-A87A-B9C7071E7C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33"/>
  <sheetViews>
    <sheetView tabSelected="1" zoomScale="80" zoomScaleNormal="80" zoomScalePageLayoutView="70" workbookViewId="0">
      <selection activeCell="D1" sqref="D1:D1048576"/>
    </sheetView>
  </sheetViews>
  <sheetFormatPr defaultColWidth="6.625" defaultRowHeight="15"/>
  <cols>
    <col min="1" max="1" width="8.75" style="58" customWidth="1"/>
    <col min="2" max="2" width="7.5" style="58" customWidth="1"/>
    <col min="3" max="3" width="17.375" style="58" customWidth="1"/>
    <col min="4" max="4" width="8.5" style="58" customWidth="1"/>
    <col min="5" max="5" width="15.75" style="65" customWidth="1"/>
    <col min="6" max="6" width="9.125" style="65" customWidth="1"/>
    <col min="7" max="7" width="8.5" style="65" customWidth="1"/>
    <col min="8" max="8" width="12.5" style="65" customWidth="1"/>
    <col min="9" max="9" width="13.625" style="65" customWidth="1"/>
    <col min="10" max="10" width="22.125" style="67" customWidth="1"/>
    <col min="11" max="11" width="3.875" style="65" customWidth="1"/>
    <col min="12" max="13" width="4.125" style="65" customWidth="1"/>
    <col min="14" max="14" width="5.125" style="68" customWidth="1"/>
    <col min="15" max="16384" width="6.625" style="58"/>
  </cols>
  <sheetData>
    <row r="1" spans="1:14" ht="16.5">
      <c r="A1" s="117"/>
      <c r="B1" s="118"/>
      <c r="C1" s="119"/>
      <c r="D1" s="119"/>
      <c r="E1" s="119"/>
      <c r="F1" s="119"/>
      <c r="G1" s="119"/>
      <c r="H1" s="119"/>
      <c r="I1" s="119"/>
      <c r="J1" s="119"/>
      <c r="K1" s="119"/>
      <c r="L1" s="119"/>
      <c r="M1" s="119"/>
      <c r="N1" s="120"/>
    </row>
    <row r="2" spans="1:14" s="65" customFormat="1" ht="15" customHeight="1">
      <c r="A2" s="121" t="s">
        <v>0</v>
      </c>
      <c r="B2" s="123" t="s">
        <v>1</v>
      </c>
      <c r="C2" s="123" t="s">
        <v>2</v>
      </c>
      <c r="D2" s="123" t="s">
        <v>3</v>
      </c>
      <c r="E2" s="123"/>
      <c r="F2" s="123" t="s">
        <v>4</v>
      </c>
      <c r="G2" s="123"/>
      <c r="H2" s="123"/>
      <c r="I2" s="123"/>
      <c r="J2" s="123"/>
      <c r="K2" s="123" t="s">
        <v>5</v>
      </c>
      <c r="L2" s="123" t="s">
        <v>6</v>
      </c>
      <c r="M2" s="123" t="s">
        <v>7</v>
      </c>
      <c r="N2" s="115" t="s">
        <v>8</v>
      </c>
    </row>
    <row r="3" spans="1:14" s="65" customFormat="1" ht="33.75">
      <c r="A3" s="122"/>
      <c r="B3" s="124"/>
      <c r="C3" s="124"/>
      <c r="D3" s="71" t="s">
        <v>9</v>
      </c>
      <c r="E3" s="71" t="s">
        <v>10</v>
      </c>
      <c r="F3" s="164" t="s">
        <v>11</v>
      </c>
      <c r="G3" s="164" t="s">
        <v>12</v>
      </c>
      <c r="H3" s="164" t="s">
        <v>13</v>
      </c>
      <c r="I3" s="71" t="s">
        <v>14</v>
      </c>
      <c r="J3" s="71" t="s">
        <v>15</v>
      </c>
      <c r="K3" s="125"/>
      <c r="L3" s="125"/>
      <c r="M3" s="125"/>
      <c r="N3" s="116"/>
    </row>
    <row r="4" spans="1:14">
      <c r="A4" s="82"/>
      <c r="B4" s="83"/>
      <c r="C4" s="84"/>
      <c r="D4" s="84"/>
      <c r="E4" s="85"/>
      <c r="F4" s="85"/>
      <c r="G4" s="85"/>
      <c r="H4" s="85"/>
      <c r="I4" s="85"/>
      <c r="J4" s="84"/>
      <c r="K4" s="86"/>
      <c r="L4" s="86"/>
      <c r="M4" s="86"/>
      <c r="N4" s="87"/>
    </row>
    <row r="5" spans="1:14">
      <c r="A5" s="72"/>
      <c r="B5" s="66"/>
      <c r="C5" s="1"/>
      <c r="D5" s="1"/>
      <c r="E5" s="2"/>
      <c r="F5" s="2"/>
      <c r="G5" s="2"/>
      <c r="H5" s="2"/>
      <c r="I5" s="2"/>
      <c r="J5" s="59"/>
      <c r="K5" s="60"/>
      <c r="L5" s="60"/>
      <c r="M5" s="60"/>
      <c r="N5" s="73"/>
    </row>
    <row r="6" spans="1:14">
      <c r="A6" s="72"/>
      <c r="B6" s="66"/>
      <c r="C6" s="1"/>
      <c r="D6" s="1"/>
      <c r="E6" s="2"/>
      <c r="F6" s="2"/>
      <c r="G6" s="2"/>
      <c r="H6" s="2"/>
      <c r="I6" s="2"/>
      <c r="J6" s="1"/>
      <c r="K6" s="60"/>
      <c r="L6" s="60"/>
      <c r="M6" s="60"/>
      <c r="N6" s="73"/>
    </row>
    <row r="7" spans="1:14">
      <c r="A7" s="72"/>
      <c r="B7" s="66"/>
      <c r="C7" s="1"/>
      <c r="D7" s="1"/>
      <c r="E7" s="2"/>
      <c r="F7" s="2"/>
      <c r="G7" s="2"/>
      <c r="H7" s="2"/>
      <c r="I7" s="2"/>
      <c r="J7" s="1"/>
      <c r="K7" s="60"/>
      <c r="L7" s="60"/>
      <c r="M7" s="60"/>
      <c r="N7" s="73"/>
    </row>
    <row r="8" spans="1:14">
      <c r="A8" s="72"/>
      <c r="B8" s="66"/>
      <c r="C8" s="1"/>
      <c r="D8" s="1"/>
      <c r="E8" s="2"/>
      <c r="F8" s="2"/>
      <c r="G8" s="2"/>
      <c r="H8" s="2"/>
      <c r="I8" s="2"/>
      <c r="J8" s="59"/>
      <c r="K8" s="60"/>
      <c r="L8" s="60"/>
      <c r="M8" s="60"/>
      <c r="N8" s="73"/>
    </row>
    <row r="9" spans="1:14">
      <c r="A9" s="72"/>
      <c r="B9" s="66"/>
      <c r="C9" s="1"/>
      <c r="D9" s="1"/>
      <c r="E9" s="2"/>
      <c r="F9" s="2"/>
      <c r="G9" s="2"/>
      <c r="H9" s="2"/>
      <c r="I9" s="2"/>
      <c r="J9" s="59"/>
      <c r="K9" s="60"/>
      <c r="L9" s="60"/>
      <c r="M9" s="60"/>
      <c r="N9" s="73"/>
    </row>
    <row r="10" spans="1:14">
      <c r="A10" s="72"/>
      <c r="B10" s="66"/>
      <c r="C10" s="1"/>
      <c r="D10" s="1"/>
      <c r="E10" s="2"/>
      <c r="F10" s="2"/>
      <c r="G10" s="2"/>
      <c r="H10" s="2"/>
      <c r="I10" s="2"/>
      <c r="J10" s="59"/>
      <c r="K10" s="60"/>
      <c r="L10" s="60"/>
      <c r="M10" s="60"/>
      <c r="N10" s="73"/>
    </row>
    <row r="11" spans="1:14">
      <c r="A11" s="72"/>
      <c r="B11" s="66"/>
      <c r="C11" s="1"/>
      <c r="D11" s="1"/>
      <c r="E11" s="2"/>
      <c r="F11" s="2"/>
      <c r="G11" s="2"/>
      <c r="H11" s="2"/>
      <c r="I11" s="2"/>
      <c r="J11" s="59"/>
      <c r="K11" s="60"/>
      <c r="L11" s="60"/>
      <c r="M11" s="60"/>
      <c r="N11" s="73"/>
    </row>
    <row r="12" spans="1:14">
      <c r="A12" s="72"/>
      <c r="B12" s="66"/>
      <c r="C12" s="1"/>
      <c r="D12" s="1"/>
      <c r="E12" s="2"/>
      <c r="F12" s="2"/>
      <c r="G12" s="2"/>
      <c r="H12" s="2"/>
      <c r="I12" s="2"/>
      <c r="J12" s="59"/>
      <c r="K12" s="60"/>
      <c r="L12" s="60"/>
      <c r="M12" s="60"/>
      <c r="N12" s="73"/>
    </row>
    <row r="13" spans="1:14">
      <c r="A13" s="72"/>
      <c r="B13" s="66"/>
      <c r="C13" s="1"/>
      <c r="D13" s="1"/>
      <c r="E13" s="2"/>
      <c r="F13" s="2"/>
      <c r="G13" s="2"/>
      <c r="H13" s="2"/>
      <c r="I13" s="2"/>
      <c r="J13" s="59"/>
      <c r="K13" s="60"/>
      <c r="L13" s="60"/>
      <c r="M13" s="60"/>
      <c r="N13" s="73"/>
    </row>
    <row r="14" spans="1:14">
      <c r="A14" s="72"/>
      <c r="B14" s="66"/>
      <c r="C14" s="1"/>
      <c r="D14" s="1"/>
      <c r="E14" s="2"/>
      <c r="F14" s="2"/>
      <c r="G14" s="2"/>
      <c r="H14" s="2"/>
      <c r="I14" s="2"/>
      <c r="J14" s="59"/>
      <c r="K14" s="60"/>
      <c r="L14" s="60"/>
      <c r="M14" s="60"/>
      <c r="N14" s="73"/>
    </row>
    <row r="15" spans="1:14">
      <c r="A15" s="72"/>
      <c r="B15" s="66"/>
      <c r="C15" s="1"/>
      <c r="D15" s="1"/>
      <c r="E15" s="2"/>
      <c r="F15" s="2"/>
      <c r="G15" s="2"/>
      <c r="H15" s="2"/>
      <c r="I15" s="2"/>
      <c r="J15" s="59"/>
      <c r="K15" s="60"/>
      <c r="L15" s="60"/>
      <c r="M15" s="60"/>
      <c r="N15" s="73"/>
    </row>
    <row r="16" spans="1:14">
      <c r="A16" s="72"/>
      <c r="B16" s="66"/>
      <c r="C16" s="1"/>
      <c r="D16" s="1"/>
      <c r="E16" s="2"/>
      <c r="F16" s="2"/>
      <c r="G16" s="2"/>
      <c r="H16" s="2"/>
      <c r="I16" s="2"/>
      <c r="J16" s="59"/>
      <c r="K16" s="60"/>
      <c r="L16" s="60"/>
      <c r="M16" s="60"/>
      <c r="N16" s="73"/>
    </row>
    <row r="17" spans="1:14" s="64" customFormat="1">
      <c r="A17" s="72"/>
      <c r="B17" s="66"/>
      <c r="C17" s="1"/>
      <c r="D17" s="1"/>
      <c r="E17" s="2"/>
      <c r="F17" s="2"/>
      <c r="G17" s="2"/>
      <c r="H17" s="2"/>
      <c r="I17" s="2"/>
      <c r="J17" s="59"/>
      <c r="K17" s="2"/>
      <c r="L17" s="2"/>
      <c r="M17" s="2"/>
      <c r="N17" s="74"/>
    </row>
    <row r="18" spans="1:14">
      <c r="A18" s="72"/>
      <c r="B18" s="66"/>
      <c r="C18" s="1"/>
      <c r="D18" s="1"/>
      <c r="E18" s="2"/>
      <c r="F18" s="2"/>
      <c r="G18" s="2"/>
      <c r="H18" s="2"/>
      <c r="I18" s="2"/>
      <c r="J18" s="59"/>
      <c r="K18" s="60"/>
      <c r="L18" s="60"/>
      <c r="M18" s="60"/>
      <c r="N18" s="73"/>
    </row>
    <row r="19" spans="1:14">
      <c r="A19" s="72"/>
      <c r="B19" s="66"/>
      <c r="C19" s="1"/>
      <c r="D19" s="1"/>
      <c r="E19" s="2"/>
      <c r="F19" s="2"/>
      <c r="G19" s="2"/>
      <c r="H19" s="2"/>
      <c r="I19" s="2"/>
      <c r="J19" s="59"/>
      <c r="K19" s="60"/>
      <c r="L19" s="60"/>
      <c r="M19" s="60"/>
      <c r="N19" s="73"/>
    </row>
    <row r="20" spans="1:14">
      <c r="A20" s="72"/>
      <c r="B20" s="66"/>
      <c r="C20" s="1"/>
      <c r="D20" s="1"/>
      <c r="E20" s="2"/>
      <c r="F20" s="2"/>
      <c r="G20" s="2"/>
      <c r="H20" s="2"/>
      <c r="I20" s="2"/>
      <c r="J20" s="59"/>
      <c r="K20" s="60"/>
      <c r="L20" s="60"/>
      <c r="M20" s="60"/>
      <c r="N20" s="73"/>
    </row>
    <row r="21" spans="1:14">
      <c r="A21" s="72"/>
      <c r="B21" s="66"/>
      <c r="C21" s="1"/>
      <c r="D21" s="1"/>
      <c r="E21" s="2"/>
      <c r="F21" s="2"/>
      <c r="G21" s="2"/>
      <c r="H21" s="2"/>
      <c r="I21" s="2"/>
      <c r="J21" s="59"/>
      <c r="K21" s="60"/>
      <c r="L21" s="60"/>
      <c r="M21" s="60"/>
      <c r="N21" s="73"/>
    </row>
    <row r="22" spans="1:14">
      <c r="A22" s="72"/>
      <c r="B22" s="66"/>
      <c r="C22" s="1"/>
      <c r="D22" s="1"/>
      <c r="E22" s="2"/>
      <c r="F22" s="2"/>
      <c r="G22" s="2"/>
      <c r="H22" s="2"/>
      <c r="I22" s="2"/>
      <c r="J22" s="59"/>
      <c r="K22" s="60"/>
      <c r="L22" s="60"/>
      <c r="M22" s="60"/>
      <c r="N22" s="73"/>
    </row>
    <row r="23" spans="1:14">
      <c r="A23" s="72"/>
      <c r="B23" s="66"/>
      <c r="C23" s="1"/>
      <c r="D23" s="1"/>
      <c r="E23" s="2"/>
      <c r="F23" s="2"/>
      <c r="G23" s="2"/>
      <c r="H23" s="2"/>
      <c r="I23" s="2"/>
      <c r="J23" s="59"/>
      <c r="K23" s="60"/>
      <c r="L23" s="60"/>
      <c r="M23" s="60"/>
      <c r="N23" s="73"/>
    </row>
    <row r="24" spans="1:14">
      <c r="A24" s="72"/>
      <c r="B24" s="66"/>
      <c r="C24" s="1"/>
      <c r="D24" s="1"/>
      <c r="E24" s="2"/>
      <c r="F24" s="2"/>
      <c r="G24" s="2"/>
      <c r="H24" s="2"/>
      <c r="I24" s="2"/>
      <c r="J24" s="59"/>
      <c r="K24" s="60"/>
      <c r="L24" s="60"/>
      <c r="M24" s="60"/>
      <c r="N24" s="73"/>
    </row>
    <row r="25" spans="1:14">
      <c r="A25" s="72"/>
      <c r="B25" s="66"/>
      <c r="C25" s="1"/>
      <c r="D25" s="1"/>
      <c r="E25" s="2"/>
      <c r="F25" s="2"/>
      <c r="G25" s="2"/>
      <c r="H25" s="2"/>
      <c r="I25" s="2"/>
      <c r="J25" s="59"/>
      <c r="K25" s="60"/>
      <c r="L25" s="60"/>
      <c r="M25" s="60"/>
      <c r="N25" s="73"/>
    </row>
    <row r="26" spans="1:14">
      <c r="A26" s="72"/>
      <c r="B26" s="66"/>
      <c r="C26" s="1"/>
      <c r="D26" s="1"/>
      <c r="E26" s="2"/>
      <c r="F26" s="2"/>
      <c r="G26" s="2"/>
      <c r="H26" s="2"/>
      <c r="I26" s="2"/>
      <c r="J26" s="59"/>
      <c r="K26" s="60"/>
      <c r="L26" s="60"/>
      <c r="M26" s="60"/>
      <c r="N26" s="73"/>
    </row>
    <row r="27" spans="1:14">
      <c r="A27" s="72"/>
      <c r="B27" s="66"/>
      <c r="C27" s="1"/>
      <c r="D27" s="1"/>
      <c r="E27" s="2"/>
      <c r="F27" s="2"/>
      <c r="G27" s="2"/>
      <c r="H27" s="2"/>
      <c r="I27" s="2"/>
      <c r="J27" s="2"/>
      <c r="K27" s="60"/>
      <c r="L27" s="60"/>
      <c r="M27" s="60"/>
      <c r="N27" s="73"/>
    </row>
    <row r="28" spans="1:14">
      <c r="A28" s="72"/>
      <c r="B28" s="66"/>
      <c r="C28" s="1"/>
      <c r="D28" s="1"/>
      <c r="E28" s="2"/>
      <c r="F28" s="2"/>
      <c r="G28" s="2"/>
      <c r="H28" s="2"/>
      <c r="I28" s="2"/>
      <c r="J28" s="2"/>
      <c r="K28" s="60"/>
      <c r="L28" s="60"/>
      <c r="M28" s="60"/>
      <c r="N28" s="73"/>
    </row>
    <row r="29" spans="1:14">
      <c r="A29" s="72"/>
      <c r="B29" s="66"/>
      <c r="C29" s="1"/>
      <c r="D29" s="1"/>
      <c r="E29" s="2"/>
      <c r="F29" s="2"/>
      <c r="G29" s="2"/>
      <c r="H29" s="2"/>
      <c r="I29" s="2"/>
      <c r="J29" s="2"/>
      <c r="K29" s="60"/>
      <c r="L29" s="60"/>
      <c r="M29" s="60"/>
      <c r="N29" s="73"/>
    </row>
    <row r="33" spans="3:3">
      <c r="C33" s="102"/>
    </row>
  </sheetData>
  <autoFilter ref="A3:N35" xr:uid="{00000000-0009-0000-0000-000000000000}"/>
  <mergeCells count="10">
    <mergeCell ref="A1:N1"/>
    <mergeCell ref="A2:A3"/>
    <mergeCell ref="B2:B3"/>
    <mergeCell ref="C2:C3"/>
    <mergeCell ref="D2:E2"/>
    <mergeCell ref="F2:J2"/>
    <mergeCell ref="K2:K3"/>
    <mergeCell ref="L2:L3"/>
    <mergeCell ref="M2:M3"/>
    <mergeCell ref="N2:N3"/>
  </mergeCells>
  <phoneticPr fontId="2" type="noConversion"/>
  <dataValidations disablePrompts="1" count="2">
    <dataValidation type="list" allowBlank="1" showInputMessage="1" showErrorMessage="1" sqref="E2 J27:J29 E4:E65221" xr:uid="{00000000-0002-0000-0000-000000000000}">
      <formula1>"作業文件,系統文件,合約,電子資料紀錄,系統紀錄,作業系統(OS),應用系統(AP，含DBMS),OA系統,資訊安全系統,個人電腦,可攜式個人電腦,伺服器(對內),伺服器(對外),其他硬體,網路設備,通訊設備,可攜式儲存媒體(有資料),可攜式儲存媒體(無資料),電腦保護設施, 擁有者,管理者(內部),使用者(內部),管理者(外部),使用者(外部),內外部服務,一般辦公區域,特殊辦公區域,資訊機房、檔案室區域,倉庫/庫房,建築保護設施"</formula1>
    </dataValidation>
    <dataValidation type="list" allowBlank="1" showInputMessage="1" showErrorMessage="1" sqref="D4:D65221" xr:uid="{00000000-0002-0000-0000-000001000000}">
      <formula1>"人員類,文件類,軟體類,硬體類,服務類,建築與保護類"</formula1>
    </dataValidation>
  </dataValidations>
  <printOptions horizontalCentered="1"/>
  <pageMargins left="0.23622047244094491" right="0.23622047244094491" top="0.74803149606299213" bottom="0.57999999999999996" header="0.31496062992125984" footer="0.31496062992125984"/>
  <pageSetup paperSize="9" scale="74" orientation="landscape" r:id="rId1"/>
  <headerFooter alignWithMargins="0">
    <oddHeader>&amp;L&amp;"標楷體,標準"文件編號：ISMS-2-04-1
制訂單位：資訊部&amp;C&amp;"標楷體,標準"&amp;16新光醫療財團法人新光吳火獅醫院
資訊資產清冊與風險評鑑&amp;R&amp;"標楷體,標準"機密等級：密             版本：3.0
更新日期：               頁數：&amp;P/&amp;N</oddHeader>
    <oddFooter>&amp;C&amp;P/&amp;N</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69"/>
  <sheetViews>
    <sheetView zoomScale="70" zoomScaleNormal="70" workbookViewId="0">
      <selection activeCell="D58" sqref="D58"/>
    </sheetView>
  </sheetViews>
  <sheetFormatPr defaultColWidth="30.875" defaultRowHeight="16.5"/>
  <cols>
    <col min="1" max="1" width="15.875" customWidth="1"/>
    <col min="2" max="2" width="41.375" customWidth="1"/>
    <col min="3" max="3" width="43" customWidth="1"/>
    <col min="4" max="4" width="47.375" customWidth="1"/>
  </cols>
  <sheetData>
    <row r="1" spans="1:4" ht="17.25" thickBot="1">
      <c r="A1" s="134" t="s">
        <v>16</v>
      </c>
      <c r="B1" s="135"/>
      <c r="C1" s="135"/>
      <c r="D1" s="136"/>
    </row>
    <row r="2" spans="1:4" ht="17.25" thickBot="1">
      <c r="A2" s="7" t="s">
        <v>17</v>
      </c>
      <c r="B2" s="23" t="s">
        <v>18</v>
      </c>
      <c r="C2" s="23" t="s">
        <v>19</v>
      </c>
      <c r="D2" s="23" t="s">
        <v>20</v>
      </c>
    </row>
    <row r="3" spans="1:4" ht="50.25" thickBot="1">
      <c r="A3" s="7" t="s">
        <v>21</v>
      </c>
      <c r="B3" s="24" t="s">
        <v>22</v>
      </c>
      <c r="C3" s="24" t="s">
        <v>23</v>
      </c>
      <c r="D3" s="24" t="s">
        <v>24</v>
      </c>
    </row>
    <row r="4" spans="1:4" ht="33">
      <c r="A4" s="26">
        <v>4</v>
      </c>
      <c r="B4" s="30" t="s">
        <v>25</v>
      </c>
      <c r="C4" s="30" t="s">
        <v>26</v>
      </c>
      <c r="D4" s="126" t="s">
        <v>27</v>
      </c>
    </row>
    <row r="5" spans="1:4">
      <c r="A5" s="27" t="s">
        <v>28</v>
      </c>
      <c r="B5" s="30" t="s">
        <v>29</v>
      </c>
      <c r="C5" s="30" t="s">
        <v>30</v>
      </c>
      <c r="D5" s="137"/>
    </row>
    <row r="6" spans="1:4" ht="33">
      <c r="A6" s="27" t="s">
        <v>31</v>
      </c>
      <c r="B6" s="30" t="s">
        <v>32</v>
      </c>
      <c r="C6" s="30" t="s">
        <v>33</v>
      </c>
      <c r="D6" s="137"/>
    </row>
    <row r="7" spans="1:4" ht="33">
      <c r="A7" s="28"/>
      <c r="B7" s="30" t="s">
        <v>34</v>
      </c>
      <c r="C7" s="32"/>
      <c r="D7" s="137"/>
    </row>
    <row r="8" spans="1:4" ht="33.75" thickBot="1">
      <c r="A8" s="29"/>
      <c r="B8" s="31" t="s">
        <v>35</v>
      </c>
      <c r="C8" s="33"/>
      <c r="D8" s="127"/>
    </row>
    <row r="9" spans="1:4" ht="33">
      <c r="A9" s="26">
        <v>3</v>
      </c>
      <c r="B9" s="30" t="s">
        <v>25</v>
      </c>
      <c r="C9" s="30" t="s">
        <v>36</v>
      </c>
      <c r="D9" s="126" t="s">
        <v>37</v>
      </c>
    </row>
    <row r="10" spans="1:4" ht="33">
      <c r="A10" s="27" t="s">
        <v>31</v>
      </c>
      <c r="B10" s="30" t="s">
        <v>38</v>
      </c>
      <c r="C10" s="30" t="s">
        <v>39</v>
      </c>
      <c r="D10" s="137"/>
    </row>
    <row r="11" spans="1:4">
      <c r="A11" s="28"/>
      <c r="B11" s="30" t="s">
        <v>40</v>
      </c>
      <c r="C11" s="30" t="s">
        <v>41</v>
      </c>
      <c r="D11" s="137"/>
    </row>
    <row r="12" spans="1:4" ht="33">
      <c r="A12" s="28"/>
      <c r="B12" s="30" t="s">
        <v>34</v>
      </c>
      <c r="C12" s="32"/>
      <c r="D12" s="137"/>
    </row>
    <row r="13" spans="1:4" ht="33.75" thickBot="1">
      <c r="A13" s="29"/>
      <c r="B13" s="31" t="s">
        <v>35</v>
      </c>
      <c r="C13" s="33"/>
      <c r="D13" s="127"/>
    </row>
    <row r="14" spans="1:4" ht="33">
      <c r="A14" s="26">
        <v>2</v>
      </c>
      <c r="B14" s="30" t="s">
        <v>42</v>
      </c>
      <c r="C14" s="30" t="s">
        <v>43</v>
      </c>
      <c r="D14" s="126" t="s">
        <v>44</v>
      </c>
    </row>
    <row r="15" spans="1:4" ht="33">
      <c r="A15" s="27" t="s">
        <v>45</v>
      </c>
      <c r="B15" s="30" t="s">
        <v>46</v>
      </c>
      <c r="C15" s="30" t="s">
        <v>47</v>
      </c>
      <c r="D15" s="137"/>
    </row>
    <row r="16" spans="1:4" ht="33">
      <c r="A16" s="28"/>
      <c r="B16" s="30" t="s">
        <v>48</v>
      </c>
      <c r="C16" s="30" t="s">
        <v>49</v>
      </c>
      <c r="D16" s="137"/>
    </row>
    <row r="17" spans="1:4" ht="33.75" thickBot="1">
      <c r="A17" s="29"/>
      <c r="B17" s="31" t="s">
        <v>50</v>
      </c>
      <c r="C17" s="33"/>
      <c r="D17" s="127"/>
    </row>
    <row r="18" spans="1:4" ht="33">
      <c r="A18" s="26">
        <v>1</v>
      </c>
      <c r="B18" s="30" t="s">
        <v>51</v>
      </c>
      <c r="C18" s="30" t="s">
        <v>52</v>
      </c>
      <c r="D18" s="126" t="s">
        <v>53</v>
      </c>
    </row>
    <row r="19" spans="1:4" ht="33">
      <c r="A19" s="27" t="s">
        <v>54</v>
      </c>
      <c r="B19" s="30" t="s">
        <v>55</v>
      </c>
      <c r="C19" s="30" t="s">
        <v>56</v>
      </c>
      <c r="D19" s="137"/>
    </row>
    <row r="20" spans="1:4" ht="33">
      <c r="A20" s="28"/>
      <c r="B20" s="30" t="s">
        <v>57</v>
      </c>
      <c r="C20" s="30" t="s">
        <v>58</v>
      </c>
      <c r="D20" s="137"/>
    </row>
    <row r="21" spans="1:4" ht="33.75" thickBot="1">
      <c r="A21" s="29"/>
      <c r="B21" s="31" t="s">
        <v>59</v>
      </c>
      <c r="C21" s="33"/>
      <c r="D21" s="127"/>
    </row>
    <row r="22" spans="1:4">
      <c r="A22" s="128" t="s">
        <v>60</v>
      </c>
      <c r="B22" s="129"/>
      <c r="C22" s="129"/>
      <c r="D22" s="130"/>
    </row>
    <row r="23" spans="1:4" ht="17.25" thickBot="1">
      <c r="A23" s="131" t="s">
        <v>61</v>
      </c>
      <c r="B23" s="132"/>
      <c r="C23" s="132"/>
      <c r="D23" s="133"/>
    </row>
    <row r="24" spans="1:4" ht="17.25" thickBot="1"/>
    <row r="25" spans="1:4" ht="17.25" thickBot="1">
      <c r="A25" s="134" t="s">
        <v>62</v>
      </c>
      <c r="B25" s="135"/>
      <c r="C25" s="135"/>
      <c r="D25" s="136"/>
    </row>
    <row r="26" spans="1:4" ht="17.25" thickBot="1">
      <c r="A26" s="7" t="s">
        <v>17</v>
      </c>
      <c r="B26" s="23" t="s">
        <v>18</v>
      </c>
      <c r="C26" s="23" t="s">
        <v>19</v>
      </c>
      <c r="D26" s="23" t="s">
        <v>20</v>
      </c>
    </row>
    <row r="27" spans="1:4" ht="50.25" thickBot="1">
      <c r="A27" s="7" t="s">
        <v>21</v>
      </c>
      <c r="B27" s="24" t="s">
        <v>22</v>
      </c>
      <c r="C27" s="24" t="s">
        <v>23</v>
      </c>
      <c r="D27" s="24" t="s">
        <v>24</v>
      </c>
    </row>
    <row r="28" spans="1:4">
      <c r="A28" s="26">
        <v>4</v>
      </c>
      <c r="B28" s="126" t="s">
        <v>63</v>
      </c>
      <c r="C28" s="126" t="s">
        <v>63</v>
      </c>
      <c r="D28" s="30" t="s">
        <v>64</v>
      </c>
    </row>
    <row r="29" spans="1:4" ht="33">
      <c r="A29" s="27" t="s">
        <v>28</v>
      </c>
      <c r="B29" s="137"/>
      <c r="C29" s="137"/>
      <c r="D29" s="30" t="s">
        <v>65</v>
      </c>
    </row>
    <row r="30" spans="1:4" ht="17.25" thickBot="1">
      <c r="A30" s="43" t="s">
        <v>31</v>
      </c>
      <c r="B30" s="127"/>
      <c r="C30" s="127"/>
      <c r="D30" s="33"/>
    </row>
    <row r="31" spans="1:4">
      <c r="A31" s="26">
        <v>3</v>
      </c>
      <c r="B31" s="126" t="s">
        <v>63</v>
      </c>
      <c r="C31" s="126" t="s">
        <v>63</v>
      </c>
      <c r="D31" s="30" t="s">
        <v>66</v>
      </c>
    </row>
    <row r="32" spans="1:4" ht="33.75" thickBot="1">
      <c r="A32" s="43" t="s">
        <v>31</v>
      </c>
      <c r="B32" s="127"/>
      <c r="C32" s="127"/>
      <c r="D32" s="31" t="s">
        <v>67</v>
      </c>
    </row>
    <row r="33" spans="1:4">
      <c r="A33" s="26">
        <v>2</v>
      </c>
      <c r="B33" s="126" t="s">
        <v>63</v>
      </c>
      <c r="C33" s="126" t="s">
        <v>63</v>
      </c>
      <c r="D33" s="30" t="s">
        <v>68</v>
      </c>
    </row>
    <row r="34" spans="1:4" ht="33.75" thickBot="1">
      <c r="A34" s="43" t="s">
        <v>45</v>
      </c>
      <c r="B34" s="127"/>
      <c r="C34" s="127"/>
      <c r="D34" s="31" t="s">
        <v>69</v>
      </c>
    </row>
    <row r="35" spans="1:4">
      <c r="A35" s="26">
        <v>1</v>
      </c>
      <c r="B35" s="126" t="s">
        <v>70</v>
      </c>
      <c r="C35" s="126" t="s">
        <v>71</v>
      </c>
      <c r="D35" s="30" t="s">
        <v>72</v>
      </c>
    </row>
    <row r="36" spans="1:4" ht="33.75" thickBot="1">
      <c r="A36" s="43" t="s">
        <v>54</v>
      </c>
      <c r="B36" s="127"/>
      <c r="C36" s="127"/>
      <c r="D36" s="31" t="s">
        <v>73</v>
      </c>
    </row>
    <row r="37" spans="1:4" ht="17.25" thickBot="1"/>
    <row r="38" spans="1:4" ht="17.25" thickBot="1">
      <c r="A38" s="134" t="s">
        <v>74</v>
      </c>
      <c r="B38" s="135"/>
      <c r="C38" s="135"/>
      <c r="D38" s="136"/>
    </row>
    <row r="39" spans="1:4" ht="17.25" thickBot="1">
      <c r="A39" s="7" t="s">
        <v>17</v>
      </c>
      <c r="B39" s="23" t="s">
        <v>18</v>
      </c>
      <c r="C39" s="23" t="s">
        <v>19</v>
      </c>
      <c r="D39" s="23" t="s">
        <v>20</v>
      </c>
    </row>
    <row r="40" spans="1:4" ht="50.25" thickBot="1">
      <c r="A40" s="7" t="s">
        <v>21</v>
      </c>
      <c r="B40" s="24" t="s">
        <v>22</v>
      </c>
      <c r="C40" s="24" t="s">
        <v>23</v>
      </c>
      <c r="D40" s="24" t="s">
        <v>24</v>
      </c>
    </row>
    <row r="41" spans="1:4">
      <c r="A41" s="26">
        <v>4</v>
      </c>
      <c r="B41" s="30" t="s">
        <v>75</v>
      </c>
      <c r="C41" s="30" t="s">
        <v>76</v>
      </c>
      <c r="D41" s="30" t="s">
        <v>77</v>
      </c>
    </row>
    <row r="42" spans="1:4" ht="33">
      <c r="A42" s="27" t="s">
        <v>28</v>
      </c>
      <c r="B42" s="30" t="s">
        <v>78</v>
      </c>
      <c r="C42" s="30" t="s">
        <v>79</v>
      </c>
      <c r="D42" s="30" t="s">
        <v>65</v>
      </c>
    </row>
    <row r="43" spans="1:4" ht="33.75" thickBot="1">
      <c r="A43" s="43" t="s">
        <v>31</v>
      </c>
      <c r="B43" s="31" t="s">
        <v>32</v>
      </c>
      <c r="C43" s="31" t="s">
        <v>80</v>
      </c>
      <c r="D43" s="33"/>
    </row>
    <row r="44" spans="1:4" ht="33">
      <c r="A44" s="26">
        <v>3</v>
      </c>
      <c r="B44" s="30" t="s">
        <v>81</v>
      </c>
      <c r="C44" s="30" t="s">
        <v>82</v>
      </c>
      <c r="D44" s="30" t="s">
        <v>83</v>
      </c>
    </row>
    <row r="45" spans="1:4" ht="33">
      <c r="A45" s="27" t="s">
        <v>31</v>
      </c>
      <c r="B45" s="30" t="s">
        <v>84</v>
      </c>
      <c r="C45" s="30" t="s">
        <v>85</v>
      </c>
      <c r="D45" s="30" t="s">
        <v>67</v>
      </c>
    </row>
    <row r="46" spans="1:4" ht="17.25" thickBot="1">
      <c r="A46" s="29"/>
      <c r="B46" s="31" t="s">
        <v>40</v>
      </c>
      <c r="C46" s="31" t="s">
        <v>41</v>
      </c>
      <c r="D46" s="33"/>
    </row>
    <row r="47" spans="1:4">
      <c r="A47" s="26">
        <v>2</v>
      </c>
      <c r="B47" s="126" t="s">
        <v>86</v>
      </c>
      <c r="C47" s="30" t="s">
        <v>87</v>
      </c>
      <c r="D47" s="30" t="s">
        <v>88</v>
      </c>
    </row>
    <row r="48" spans="1:4" ht="33">
      <c r="A48" s="27" t="s">
        <v>45</v>
      </c>
      <c r="B48" s="137"/>
      <c r="C48" s="30" t="s">
        <v>47</v>
      </c>
      <c r="D48" s="30" t="s">
        <v>69</v>
      </c>
    </row>
    <row r="49" spans="1:4" ht="33.75" thickBot="1">
      <c r="A49" s="29"/>
      <c r="B49" s="127"/>
      <c r="C49" s="31" t="s">
        <v>49</v>
      </c>
      <c r="D49" s="33"/>
    </row>
    <row r="50" spans="1:4" ht="33">
      <c r="A50" s="26">
        <v>1</v>
      </c>
      <c r="B50" s="126" t="s">
        <v>89</v>
      </c>
      <c r="C50" s="30" t="s">
        <v>90</v>
      </c>
      <c r="D50" s="30" t="s">
        <v>91</v>
      </c>
    </row>
    <row r="51" spans="1:4" ht="33">
      <c r="A51" s="27" t="s">
        <v>54</v>
      </c>
      <c r="B51" s="137"/>
      <c r="C51" s="30" t="s">
        <v>56</v>
      </c>
      <c r="D51" s="30" t="s">
        <v>73</v>
      </c>
    </row>
    <row r="52" spans="1:4" ht="17.25" thickBot="1">
      <c r="A52" s="29"/>
      <c r="B52" s="127"/>
      <c r="C52" s="31" t="s">
        <v>58</v>
      </c>
      <c r="D52" s="33"/>
    </row>
    <row r="53" spans="1:4" ht="17.100000000000001" customHeight="1">
      <c r="A53" s="128" t="s">
        <v>60</v>
      </c>
      <c r="B53" s="129"/>
      <c r="C53" s="129"/>
      <c r="D53" s="130"/>
    </row>
    <row r="54" spans="1:4" ht="17.25" thickBot="1">
      <c r="A54" s="131" t="s">
        <v>61</v>
      </c>
      <c r="B54" s="132"/>
      <c r="C54" s="132"/>
      <c r="D54" s="133"/>
    </row>
    <row r="55" spans="1:4" ht="17.25" thickBot="1"/>
    <row r="56" spans="1:4" ht="17.25" thickBot="1">
      <c r="A56" s="138" t="s">
        <v>92</v>
      </c>
      <c r="B56" s="139"/>
      <c r="C56" s="139"/>
      <c r="D56" s="140"/>
    </row>
    <row r="57" spans="1:4" ht="17.25" thickBot="1">
      <c r="A57" s="7" t="s">
        <v>17</v>
      </c>
      <c r="B57" s="23" t="s">
        <v>18</v>
      </c>
      <c r="C57" s="23" t="s">
        <v>19</v>
      </c>
      <c r="D57" s="23" t="s">
        <v>20</v>
      </c>
    </row>
    <row r="58" spans="1:4" ht="50.25" thickBot="1">
      <c r="A58" s="7" t="s">
        <v>21</v>
      </c>
      <c r="B58" s="24" t="s">
        <v>22</v>
      </c>
      <c r="C58" s="24" t="s">
        <v>23</v>
      </c>
      <c r="D58" s="24" t="s">
        <v>24</v>
      </c>
    </row>
    <row r="59" spans="1:4">
      <c r="A59" s="26">
        <v>4</v>
      </c>
      <c r="B59" s="30" t="s">
        <v>93</v>
      </c>
      <c r="C59" s="30" t="s">
        <v>94</v>
      </c>
      <c r="D59" s="126" t="s">
        <v>95</v>
      </c>
    </row>
    <row r="60" spans="1:4">
      <c r="A60" s="27" t="s">
        <v>28</v>
      </c>
      <c r="B60" s="30" t="s">
        <v>96</v>
      </c>
      <c r="C60" s="30" t="s">
        <v>97</v>
      </c>
      <c r="D60" s="137"/>
    </row>
    <row r="61" spans="1:4" ht="17.25" thickBot="1">
      <c r="A61" s="43" t="s">
        <v>31</v>
      </c>
      <c r="B61" s="33"/>
      <c r="C61" s="33"/>
      <c r="D61" s="127"/>
    </row>
    <row r="62" spans="1:4">
      <c r="A62" s="26">
        <v>3</v>
      </c>
      <c r="B62" s="30" t="s">
        <v>93</v>
      </c>
      <c r="C62" s="30" t="s">
        <v>98</v>
      </c>
      <c r="D62" s="126" t="s">
        <v>99</v>
      </c>
    </row>
    <row r="63" spans="1:4" ht="33.75" thickBot="1">
      <c r="A63" s="43" t="s">
        <v>31</v>
      </c>
      <c r="B63" s="31" t="s">
        <v>100</v>
      </c>
      <c r="C63" s="31" t="s">
        <v>101</v>
      </c>
      <c r="D63" s="127"/>
    </row>
    <row r="64" spans="1:4">
      <c r="A64" s="26">
        <v>2</v>
      </c>
      <c r="B64" s="30" t="s">
        <v>102</v>
      </c>
      <c r="C64" s="30" t="s">
        <v>103</v>
      </c>
      <c r="D64" s="126" t="s">
        <v>104</v>
      </c>
    </row>
    <row r="65" spans="1:4" ht="33.75" thickBot="1">
      <c r="A65" s="43" t="s">
        <v>45</v>
      </c>
      <c r="B65" s="31" t="s">
        <v>105</v>
      </c>
      <c r="C65" s="31" t="s">
        <v>106</v>
      </c>
      <c r="D65" s="127"/>
    </row>
    <row r="66" spans="1:4" ht="33">
      <c r="A66" s="26">
        <v>1</v>
      </c>
      <c r="B66" s="30" t="s">
        <v>107</v>
      </c>
      <c r="C66" s="126" t="s">
        <v>108</v>
      </c>
      <c r="D66" s="126" t="s">
        <v>109</v>
      </c>
    </row>
    <row r="67" spans="1:4" ht="33.75" thickBot="1">
      <c r="A67" s="43" t="s">
        <v>54</v>
      </c>
      <c r="B67" s="31" t="s">
        <v>110</v>
      </c>
      <c r="C67" s="127"/>
      <c r="D67" s="127"/>
    </row>
    <row r="68" spans="1:4" ht="17.100000000000001" customHeight="1">
      <c r="A68" s="128" t="s">
        <v>60</v>
      </c>
      <c r="B68" s="129"/>
      <c r="C68" s="129"/>
      <c r="D68" s="130"/>
    </row>
    <row r="69" spans="1:4" ht="17.25" thickBot="1">
      <c r="A69" s="131" t="s">
        <v>61</v>
      </c>
      <c r="B69" s="132"/>
      <c r="C69" s="132"/>
      <c r="D69" s="133"/>
    </row>
  </sheetData>
  <mergeCells count="29">
    <mergeCell ref="A22:D22"/>
    <mergeCell ref="A1:D1"/>
    <mergeCell ref="D4:D8"/>
    <mergeCell ref="D9:D13"/>
    <mergeCell ref="D14:D17"/>
    <mergeCell ref="D18:D21"/>
    <mergeCell ref="A23:D23"/>
    <mergeCell ref="A25:D25"/>
    <mergeCell ref="B28:B30"/>
    <mergeCell ref="C28:C30"/>
    <mergeCell ref="B31:B32"/>
    <mergeCell ref="C31:C32"/>
    <mergeCell ref="D62:D63"/>
    <mergeCell ref="B33:B34"/>
    <mergeCell ref="C33:C34"/>
    <mergeCell ref="B35:B36"/>
    <mergeCell ref="C35:C36"/>
    <mergeCell ref="A38:D38"/>
    <mergeCell ref="B47:B49"/>
    <mergeCell ref="B50:B52"/>
    <mergeCell ref="A53:D53"/>
    <mergeCell ref="A54:D54"/>
    <mergeCell ref="A56:D56"/>
    <mergeCell ref="D59:D61"/>
    <mergeCell ref="D64:D65"/>
    <mergeCell ref="C66:C67"/>
    <mergeCell ref="D66:D67"/>
    <mergeCell ref="A68:D68"/>
    <mergeCell ref="A69:D69"/>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25"/>
  <sheetViews>
    <sheetView view="pageLayout" zoomScaleNormal="100" workbookViewId="0">
      <selection activeCell="H25" sqref="H25"/>
    </sheetView>
  </sheetViews>
  <sheetFormatPr defaultColWidth="8.75" defaultRowHeight="16.5"/>
  <cols>
    <col min="1" max="1" width="15.5" style="25" customWidth="1"/>
    <col min="2" max="2" width="12.5" style="47" customWidth="1"/>
    <col min="3" max="3" width="34.125" style="25" customWidth="1"/>
    <col min="4" max="4" width="7" style="25" customWidth="1"/>
    <col min="5" max="5" width="6.875" style="25" customWidth="1"/>
    <col min="6" max="6" width="5.625" style="25" customWidth="1"/>
    <col min="7" max="7" width="10.875" style="25" customWidth="1"/>
    <col min="8" max="8" width="61.125" style="25" customWidth="1"/>
    <col min="9" max="16384" width="8.75" style="25"/>
  </cols>
  <sheetData>
    <row r="1" spans="1:8" ht="49.5">
      <c r="A1" s="22" t="s">
        <v>111</v>
      </c>
      <c r="B1" s="20" t="s">
        <v>112</v>
      </c>
      <c r="C1" s="20" t="s">
        <v>113</v>
      </c>
      <c r="D1" s="21" t="s">
        <v>114</v>
      </c>
      <c r="E1" s="21" t="s">
        <v>115</v>
      </c>
      <c r="F1" s="21" t="s">
        <v>116</v>
      </c>
      <c r="G1" s="20" t="s">
        <v>117</v>
      </c>
      <c r="H1" s="20" t="s">
        <v>118</v>
      </c>
    </row>
    <row r="2" spans="1:8" s="81" customFormat="1">
      <c r="A2" s="77"/>
      <c r="B2" s="78"/>
      <c r="C2" s="79"/>
      <c r="D2" s="78"/>
      <c r="E2" s="78"/>
      <c r="F2" s="78"/>
      <c r="G2" s="80"/>
      <c r="H2" s="79"/>
    </row>
    <row r="3" spans="1:8" s="81" customFormat="1">
      <c r="A3" s="77"/>
      <c r="B3" s="78"/>
      <c r="C3" s="79"/>
      <c r="D3" s="78"/>
      <c r="E3" s="78"/>
      <c r="F3" s="78"/>
      <c r="G3" s="80"/>
      <c r="H3" s="79"/>
    </row>
    <row r="4" spans="1:8" s="81" customFormat="1">
      <c r="A4" s="77"/>
      <c r="B4" s="78"/>
      <c r="C4" s="79"/>
      <c r="D4" s="78"/>
      <c r="E4" s="78"/>
      <c r="F4" s="78"/>
      <c r="G4" s="80"/>
      <c r="H4" s="79"/>
    </row>
    <row r="5" spans="1:8" s="81" customFormat="1">
      <c r="A5" s="77"/>
      <c r="B5" s="78"/>
      <c r="C5" s="79"/>
      <c r="D5" s="78"/>
      <c r="E5" s="78"/>
      <c r="F5" s="78"/>
      <c r="G5" s="80"/>
      <c r="H5" s="79"/>
    </row>
    <row r="6" spans="1:8" s="76" customFormat="1">
      <c r="A6" s="75"/>
      <c r="B6" s="62"/>
      <c r="C6" s="61"/>
      <c r="D6" s="62"/>
      <c r="E6" s="62"/>
      <c r="F6" s="62"/>
      <c r="G6" s="63"/>
      <c r="H6" s="61"/>
    </row>
    <row r="7" spans="1:8" s="76" customFormat="1">
      <c r="A7" s="75"/>
      <c r="B7" s="62"/>
      <c r="C7" s="61"/>
      <c r="D7" s="62"/>
      <c r="E7" s="62"/>
      <c r="F7" s="62"/>
      <c r="G7" s="63"/>
      <c r="H7" s="61"/>
    </row>
    <row r="8" spans="1:8" s="76" customFormat="1">
      <c r="A8" s="75"/>
      <c r="B8" s="62"/>
      <c r="C8" s="61"/>
      <c r="D8" s="62"/>
      <c r="E8" s="62"/>
      <c r="F8" s="62"/>
      <c r="G8" s="63"/>
      <c r="H8" s="61"/>
    </row>
    <row r="9" spans="1:8" s="81" customFormat="1">
      <c r="A9" s="77"/>
      <c r="B9" s="80"/>
      <c r="C9" s="79"/>
      <c r="D9" s="78"/>
      <c r="E9" s="78"/>
      <c r="F9" s="78"/>
      <c r="G9" s="80"/>
      <c r="H9" s="50"/>
    </row>
    <row r="10" spans="1:8" s="81" customFormat="1">
      <c r="A10" s="77"/>
      <c r="B10" s="80"/>
      <c r="C10" s="79"/>
      <c r="D10" s="78"/>
      <c r="E10" s="78"/>
      <c r="F10" s="78"/>
      <c r="G10" s="80"/>
      <c r="H10" s="79"/>
    </row>
    <row r="11" spans="1:8" s="81" customFormat="1">
      <c r="A11" s="77"/>
      <c r="B11" s="78"/>
      <c r="C11" s="79"/>
      <c r="D11" s="78"/>
      <c r="E11" s="78"/>
      <c r="F11" s="78"/>
      <c r="G11" s="80"/>
      <c r="H11" s="79"/>
    </row>
    <row r="12" spans="1:8" s="81" customFormat="1">
      <c r="A12" s="77"/>
      <c r="B12" s="78"/>
      <c r="C12" s="79"/>
      <c r="D12" s="78"/>
      <c r="E12" s="78"/>
      <c r="F12" s="78"/>
      <c r="G12" s="80"/>
      <c r="H12" s="79"/>
    </row>
    <row r="13" spans="1:8" s="81" customFormat="1">
      <c r="A13" s="77"/>
      <c r="B13" s="78"/>
      <c r="C13" s="79"/>
      <c r="D13" s="78"/>
      <c r="E13" s="78"/>
      <c r="F13" s="78"/>
      <c r="G13" s="80"/>
      <c r="H13" s="79"/>
    </row>
    <row r="14" spans="1:8" s="81" customFormat="1">
      <c r="A14" s="77"/>
      <c r="B14" s="78"/>
      <c r="C14" s="79"/>
      <c r="D14" s="78"/>
      <c r="E14" s="78"/>
      <c r="F14" s="78"/>
      <c r="G14" s="80"/>
      <c r="H14" s="79"/>
    </row>
    <row r="15" spans="1:8" s="81" customFormat="1">
      <c r="A15" s="77"/>
      <c r="B15" s="78"/>
      <c r="C15" s="79"/>
      <c r="D15" s="78"/>
      <c r="E15" s="78"/>
      <c r="F15" s="78"/>
      <c r="G15" s="80"/>
      <c r="H15" s="79"/>
    </row>
    <row r="16" spans="1:8" s="81" customFormat="1">
      <c r="A16" s="77"/>
      <c r="B16" s="78"/>
      <c r="C16" s="79"/>
      <c r="D16" s="78"/>
      <c r="E16" s="78"/>
      <c r="F16" s="78"/>
      <c r="G16" s="80"/>
      <c r="H16" s="79"/>
    </row>
    <row r="17" spans="1:8" s="81" customFormat="1">
      <c r="A17" s="77"/>
      <c r="B17" s="78"/>
      <c r="C17" s="79"/>
      <c r="D17" s="78"/>
      <c r="E17" s="78"/>
      <c r="F17" s="78"/>
      <c r="G17" s="80"/>
      <c r="H17" s="79"/>
    </row>
    <row r="18" spans="1:8">
      <c r="A18" s="77"/>
      <c r="B18" s="78"/>
      <c r="C18" s="79"/>
      <c r="D18" s="78"/>
      <c r="E18" s="78"/>
      <c r="F18" s="78"/>
      <c r="G18" s="80"/>
      <c r="H18" s="79"/>
    </row>
    <row r="19" spans="1:8">
      <c r="A19" s="77"/>
      <c r="B19" s="78"/>
      <c r="C19" s="79"/>
      <c r="D19" s="78"/>
      <c r="E19" s="78"/>
      <c r="F19" s="78"/>
      <c r="G19" s="80"/>
      <c r="H19" s="50"/>
    </row>
    <row r="20" spans="1:8" s="81" customFormat="1">
      <c r="A20" s="77"/>
      <c r="B20" s="78"/>
      <c r="C20" s="79"/>
      <c r="D20" s="78"/>
      <c r="E20" s="78"/>
      <c r="F20" s="78"/>
      <c r="G20" s="80"/>
      <c r="H20" s="79"/>
    </row>
    <row r="21" spans="1:8" s="76" customFormat="1">
      <c r="A21" s="75"/>
      <c r="B21" s="62"/>
      <c r="C21" s="61"/>
      <c r="D21" s="62"/>
      <c r="E21" s="62"/>
      <c r="F21" s="62"/>
      <c r="G21" s="63"/>
      <c r="H21" s="61"/>
    </row>
    <row r="22" spans="1:8" s="76" customFormat="1">
      <c r="A22" s="75"/>
      <c r="B22" s="62"/>
      <c r="C22" s="61"/>
      <c r="D22" s="62"/>
      <c r="E22" s="62"/>
      <c r="F22" s="62"/>
      <c r="G22" s="63"/>
      <c r="H22" s="69"/>
    </row>
    <row r="23" spans="1:8" s="76" customFormat="1">
      <c r="A23" s="75"/>
      <c r="B23" s="62"/>
      <c r="C23" s="61"/>
      <c r="D23" s="62"/>
      <c r="E23" s="62"/>
      <c r="F23" s="62"/>
      <c r="G23" s="63"/>
      <c r="H23" s="69"/>
    </row>
    <row r="24" spans="1:8" s="76" customFormat="1">
      <c r="A24" s="75"/>
      <c r="B24" s="62"/>
      <c r="C24" s="61"/>
      <c r="D24" s="62"/>
      <c r="E24" s="62"/>
      <c r="F24" s="62"/>
      <c r="G24" s="63"/>
      <c r="H24" s="69"/>
    </row>
    <row r="25" spans="1:8" s="76" customFormat="1">
      <c r="A25" s="75"/>
      <c r="B25" s="62"/>
      <c r="C25" s="61"/>
      <c r="D25" s="62"/>
      <c r="E25" s="62"/>
      <c r="F25" s="62"/>
      <c r="G25" s="63"/>
      <c r="H25" s="69"/>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61"/>
  <sheetViews>
    <sheetView view="pageLayout" zoomScaleNormal="100" workbookViewId="0">
      <selection activeCell="K19" sqref="K19"/>
    </sheetView>
  </sheetViews>
  <sheetFormatPr defaultRowHeight="16.5"/>
  <cols>
    <col min="1" max="1" width="9.25" customWidth="1"/>
    <col min="2" max="4" width="5.625" customWidth="1"/>
    <col min="5" max="5" width="7" customWidth="1"/>
    <col min="6" max="6" width="24.875" style="51" customWidth="1"/>
    <col min="7" max="7" width="21" style="51" customWidth="1"/>
    <col min="8" max="8" width="6.25" customWidth="1"/>
    <col min="9" max="9" width="6.125" customWidth="1"/>
    <col min="10" max="10" width="5.625" customWidth="1"/>
    <col min="11" max="11" width="31.375" customWidth="1"/>
  </cols>
  <sheetData>
    <row r="1" spans="1:11" ht="58.5">
      <c r="A1" s="46" t="s">
        <v>112</v>
      </c>
      <c r="B1" s="48" t="s">
        <v>114</v>
      </c>
      <c r="C1" s="48" t="s">
        <v>115</v>
      </c>
      <c r="D1" s="48" t="s">
        <v>116</v>
      </c>
      <c r="E1" s="46" t="s">
        <v>117</v>
      </c>
      <c r="F1" s="49" t="s">
        <v>119</v>
      </c>
      <c r="G1" s="49" t="s">
        <v>120</v>
      </c>
      <c r="H1" s="49" t="s">
        <v>121</v>
      </c>
      <c r="I1" s="49" t="s">
        <v>122</v>
      </c>
      <c r="J1" s="49" t="s">
        <v>123</v>
      </c>
      <c r="K1" s="49" t="s">
        <v>124</v>
      </c>
    </row>
    <row r="2" spans="1:11">
      <c r="A2" s="2"/>
      <c r="B2" s="2"/>
      <c r="C2" s="2"/>
      <c r="D2" s="2"/>
      <c r="E2" s="44"/>
      <c r="F2" s="1"/>
      <c r="G2" s="1"/>
      <c r="H2" s="1"/>
      <c r="I2" s="1"/>
      <c r="J2" s="1"/>
      <c r="K2" s="1"/>
    </row>
    <row r="3" spans="1:11">
      <c r="A3" s="2"/>
      <c r="B3" s="2"/>
      <c r="C3" s="2"/>
      <c r="D3" s="2"/>
      <c r="E3" s="44"/>
      <c r="F3" s="1"/>
      <c r="G3" s="1"/>
      <c r="H3" s="1"/>
      <c r="I3" s="1"/>
      <c r="J3" s="1"/>
      <c r="K3" s="1"/>
    </row>
    <row r="4" spans="1:11">
      <c r="A4" s="2"/>
      <c r="B4" s="2"/>
      <c r="C4" s="2"/>
      <c r="D4" s="2"/>
      <c r="E4" s="44"/>
      <c r="F4" s="1"/>
      <c r="G4" s="1"/>
      <c r="H4" s="1"/>
      <c r="I4" s="1"/>
      <c r="J4" s="1"/>
      <c r="K4" s="1"/>
    </row>
    <row r="5" spans="1:11">
      <c r="A5" s="2"/>
      <c r="B5" s="2"/>
      <c r="C5" s="2"/>
      <c r="D5" s="2"/>
      <c r="E5" s="44"/>
      <c r="F5" s="1"/>
      <c r="G5" s="1"/>
      <c r="H5" s="1"/>
      <c r="I5" s="1"/>
      <c r="J5" s="1"/>
      <c r="K5" s="1"/>
    </row>
    <row r="6" spans="1:11">
      <c r="A6" s="2"/>
      <c r="B6" s="2"/>
      <c r="C6" s="2"/>
      <c r="D6" s="2"/>
      <c r="E6" s="44"/>
      <c r="F6" s="1"/>
      <c r="G6" s="1"/>
      <c r="H6" s="1"/>
      <c r="I6" s="1"/>
      <c r="J6" s="1"/>
      <c r="K6" s="1"/>
    </row>
    <row r="7" spans="1:11">
      <c r="A7" s="2"/>
      <c r="B7" s="2"/>
      <c r="C7" s="2"/>
      <c r="D7" s="2"/>
      <c r="E7" s="44"/>
      <c r="F7" s="1"/>
      <c r="G7" s="1"/>
      <c r="H7" s="45"/>
      <c r="I7" s="45"/>
      <c r="J7" s="1"/>
      <c r="K7" s="1"/>
    </row>
    <row r="8" spans="1:11">
      <c r="A8" s="2"/>
      <c r="B8" s="2"/>
      <c r="C8" s="2"/>
      <c r="D8" s="2"/>
      <c r="E8" s="44"/>
      <c r="F8" s="1"/>
      <c r="G8" s="1"/>
      <c r="H8" s="45"/>
      <c r="I8" s="45"/>
      <c r="J8" s="1"/>
      <c r="K8" s="1"/>
    </row>
    <row r="9" spans="1:11">
      <c r="A9" s="2"/>
      <c r="B9" s="2"/>
      <c r="C9" s="2"/>
      <c r="D9" s="2"/>
      <c r="E9" s="44"/>
      <c r="F9" s="1"/>
      <c r="G9" s="1"/>
      <c r="H9" s="45"/>
      <c r="I9" s="45"/>
      <c r="J9" s="1"/>
      <c r="K9" s="1"/>
    </row>
    <row r="10" spans="1:11">
      <c r="A10" s="2"/>
      <c r="B10" s="2"/>
      <c r="C10" s="2"/>
      <c r="D10" s="2"/>
      <c r="E10" s="44"/>
      <c r="F10" s="1"/>
      <c r="G10" s="1"/>
      <c r="H10" s="45"/>
      <c r="I10" s="45"/>
      <c r="J10" s="1"/>
      <c r="K10" s="1"/>
    </row>
    <row r="11" spans="1:11">
      <c r="A11" s="2"/>
      <c r="B11" s="2"/>
      <c r="C11" s="2"/>
      <c r="D11" s="2"/>
      <c r="E11" s="44"/>
      <c r="F11" s="1"/>
      <c r="G11" s="1"/>
      <c r="H11" s="45"/>
      <c r="I11" s="45"/>
      <c r="J11" s="1"/>
      <c r="K11" s="1"/>
    </row>
    <row r="12" spans="1:11">
      <c r="A12" s="2"/>
      <c r="B12" s="2"/>
      <c r="C12" s="2"/>
      <c r="D12" s="2"/>
      <c r="E12" s="44"/>
      <c r="F12" s="1"/>
      <c r="G12" s="1"/>
      <c r="H12" s="45"/>
      <c r="I12" s="45"/>
      <c r="J12" s="1"/>
      <c r="K12" s="1"/>
    </row>
    <row r="13" spans="1:11">
      <c r="A13" s="2"/>
      <c r="B13" s="2"/>
      <c r="C13" s="2"/>
      <c r="D13" s="2"/>
      <c r="E13" s="44"/>
      <c r="F13" s="1"/>
      <c r="G13" s="1"/>
      <c r="H13" s="45"/>
      <c r="I13" s="45"/>
      <c r="J13" s="1"/>
      <c r="K13" s="1"/>
    </row>
    <row r="14" spans="1:11">
      <c r="A14" s="2"/>
      <c r="B14" s="2"/>
      <c r="C14" s="2"/>
      <c r="D14" s="2"/>
      <c r="E14" s="44"/>
      <c r="F14" s="1"/>
      <c r="G14" s="1"/>
      <c r="H14" s="45"/>
      <c r="I14" s="45"/>
      <c r="J14" s="1"/>
      <c r="K14" s="1"/>
    </row>
    <row r="15" spans="1:11">
      <c r="A15" s="44"/>
      <c r="B15" s="2"/>
      <c r="C15" s="2"/>
      <c r="D15" s="2"/>
      <c r="E15" s="44"/>
      <c r="F15" s="1"/>
      <c r="G15" s="1"/>
      <c r="H15" s="45"/>
      <c r="I15" s="45"/>
      <c r="J15" s="1"/>
      <c r="K15" s="1"/>
    </row>
    <row r="16" spans="1:11">
      <c r="A16" s="44"/>
      <c r="B16" s="2"/>
      <c r="C16" s="2"/>
      <c r="D16" s="2"/>
      <c r="E16" s="44"/>
      <c r="F16" s="1"/>
      <c r="G16" s="1"/>
      <c r="H16" s="45"/>
      <c r="I16" s="45"/>
      <c r="J16" s="1"/>
      <c r="K16" s="1"/>
    </row>
    <row r="17" spans="1:11">
      <c r="A17" s="44"/>
      <c r="B17" s="2"/>
      <c r="C17" s="2"/>
      <c r="D17" s="2"/>
      <c r="E17" s="44"/>
      <c r="F17" s="1"/>
      <c r="G17" s="1"/>
      <c r="H17" s="45"/>
      <c r="I17" s="45"/>
      <c r="J17" s="1"/>
      <c r="K17" s="1"/>
    </row>
    <row r="18" spans="1:11">
      <c r="A18" s="44"/>
      <c r="B18" s="2"/>
      <c r="C18" s="2"/>
      <c r="D18" s="2"/>
      <c r="E18" s="44"/>
      <c r="F18" s="1"/>
      <c r="G18" s="1"/>
      <c r="H18" s="45"/>
      <c r="I18" s="45"/>
      <c r="J18" s="1"/>
      <c r="K18" s="1"/>
    </row>
    <row r="19" spans="1:11">
      <c r="A19" s="44"/>
      <c r="B19" s="2"/>
      <c r="C19" s="2"/>
      <c r="D19" s="2"/>
      <c r="E19" s="44"/>
      <c r="F19" s="1"/>
      <c r="G19" s="1"/>
      <c r="H19" s="45"/>
      <c r="I19" s="45"/>
      <c r="J19" s="1"/>
      <c r="K19" s="1"/>
    </row>
    <row r="20" spans="1:11">
      <c r="A20" s="44"/>
      <c r="B20" s="2"/>
      <c r="C20" s="2"/>
      <c r="D20" s="2"/>
      <c r="E20" s="44"/>
      <c r="F20" s="1"/>
      <c r="G20" s="1"/>
      <c r="H20" s="45"/>
      <c r="I20" s="45"/>
      <c r="J20" s="1"/>
      <c r="K20" s="1"/>
    </row>
    <row r="21" spans="1:11">
      <c r="A21" s="2"/>
      <c r="B21" s="2"/>
      <c r="C21" s="2"/>
      <c r="D21" s="2"/>
      <c r="E21" s="44"/>
      <c r="F21" s="1"/>
      <c r="G21" s="1"/>
      <c r="H21" s="45"/>
      <c r="I21" s="45"/>
      <c r="J21" s="1"/>
      <c r="K21" s="1"/>
    </row>
    <row r="22" spans="1:11">
      <c r="A22" s="2"/>
      <c r="B22" s="2"/>
      <c r="C22" s="2"/>
      <c r="D22" s="2"/>
      <c r="E22" s="44"/>
      <c r="F22" s="1"/>
      <c r="G22" s="1"/>
      <c r="H22" s="45"/>
      <c r="I22" s="45"/>
      <c r="J22" s="1"/>
      <c r="K22" s="1"/>
    </row>
    <row r="23" spans="1:11">
      <c r="A23" s="2"/>
      <c r="B23" s="2"/>
      <c r="C23" s="2"/>
      <c r="D23" s="2"/>
      <c r="E23" s="44"/>
      <c r="F23" s="1"/>
      <c r="G23" s="1"/>
      <c r="H23" s="45"/>
      <c r="I23" s="45"/>
      <c r="J23" s="1"/>
      <c r="K23" s="1"/>
    </row>
    <row r="24" spans="1:11">
      <c r="A24" s="2"/>
      <c r="B24" s="2"/>
      <c r="C24" s="2"/>
      <c r="D24" s="2"/>
      <c r="E24" s="44"/>
      <c r="F24" s="1"/>
      <c r="G24" s="1"/>
      <c r="H24" s="45"/>
      <c r="I24" s="45"/>
      <c r="J24" s="1"/>
      <c r="K24" s="1"/>
    </row>
    <row r="25" spans="1:11">
      <c r="A25" s="2"/>
      <c r="B25" s="2"/>
      <c r="C25" s="2"/>
      <c r="D25" s="2"/>
      <c r="E25" s="44"/>
      <c r="F25" s="1"/>
      <c r="G25" s="1"/>
      <c r="H25" s="45"/>
      <c r="I25" s="45"/>
      <c r="J25" s="1"/>
      <c r="K25" s="1"/>
    </row>
    <row r="26" spans="1:11">
      <c r="A26" s="2"/>
      <c r="B26" s="2"/>
      <c r="C26" s="2"/>
      <c r="D26" s="2"/>
      <c r="E26" s="44"/>
      <c r="F26" s="1"/>
      <c r="G26" s="1"/>
      <c r="H26" s="45"/>
      <c r="I26" s="45"/>
      <c r="J26" s="1"/>
      <c r="K26" s="1"/>
    </row>
    <row r="27" spans="1:11">
      <c r="A27" s="2"/>
      <c r="B27" s="2"/>
      <c r="C27" s="2"/>
      <c r="D27" s="2"/>
      <c r="E27" s="44"/>
      <c r="F27" s="1"/>
      <c r="G27" s="1"/>
      <c r="H27" s="45"/>
      <c r="I27" s="45"/>
      <c r="J27" s="1"/>
      <c r="K27" s="1"/>
    </row>
    <row r="58" spans="1:11">
      <c r="A58" s="62" t="s">
        <v>125</v>
      </c>
      <c r="B58" s="62">
        <v>3</v>
      </c>
      <c r="C58" s="62">
        <v>3</v>
      </c>
      <c r="D58" s="62">
        <v>4</v>
      </c>
      <c r="E58" s="63">
        <f>MAX(B58:D58)</f>
        <v>4</v>
      </c>
      <c r="F58" s="61" t="s">
        <v>126</v>
      </c>
      <c r="G58" s="61" t="s">
        <v>127</v>
      </c>
      <c r="H58" s="69">
        <v>3</v>
      </c>
      <c r="I58" s="69">
        <v>4</v>
      </c>
      <c r="J58" s="61">
        <f>E58*H58*I58</f>
        <v>48</v>
      </c>
      <c r="K58" s="61" t="s">
        <v>128</v>
      </c>
    </row>
    <row r="59" spans="1:11">
      <c r="A59" s="62" t="s">
        <v>125</v>
      </c>
      <c r="B59" s="62">
        <v>3</v>
      </c>
      <c r="C59" s="62">
        <v>3</v>
      </c>
      <c r="D59" s="62">
        <v>4</v>
      </c>
      <c r="E59" s="63">
        <f>MAX(B59:D59)</f>
        <v>4</v>
      </c>
      <c r="F59" s="61" t="s">
        <v>129</v>
      </c>
      <c r="G59" s="61" t="s">
        <v>130</v>
      </c>
      <c r="H59" s="69">
        <v>2</v>
      </c>
      <c r="I59" s="69">
        <v>1</v>
      </c>
      <c r="J59" s="61">
        <f>E59*H59*I59</f>
        <v>8</v>
      </c>
      <c r="K59" s="61" t="s">
        <v>128</v>
      </c>
    </row>
    <row r="60" spans="1:11" ht="33">
      <c r="A60" s="62" t="s">
        <v>125</v>
      </c>
      <c r="B60" s="62">
        <v>3</v>
      </c>
      <c r="C60" s="62">
        <v>3</v>
      </c>
      <c r="D60" s="62">
        <v>4</v>
      </c>
      <c r="E60" s="63">
        <f>MAX(B60:D60)</f>
        <v>4</v>
      </c>
      <c r="F60" s="61" t="s">
        <v>131</v>
      </c>
      <c r="G60" s="61" t="s">
        <v>132</v>
      </c>
      <c r="H60" s="69">
        <v>2</v>
      </c>
      <c r="I60" s="69">
        <v>1</v>
      </c>
      <c r="J60" s="61">
        <f>E60*H60*I60</f>
        <v>8</v>
      </c>
      <c r="K60" s="61" t="s">
        <v>128</v>
      </c>
    </row>
    <row r="61" spans="1:11">
      <c r="A61" s="62" t="s">
        <v>125</v>
      </c>
      <c r="B61" s="62">
        <v>3</v>
      </c>
      <c r="C61" s="62">
        <v>3</v>
      </c>
      <c r="D61" s="62">
        <v>4</v>
      </c>
      <c r="E61" s="63">
        <f>MAX(B61:D61)</f>
        <v>4</v>
      </c>
      <c r="F61" s="61" t="s">
        <v>133</v>
      </c>
      <c r="G61" s="61" t="s">
        <v>134</v>
      </c>
      <c r="H61" s="69">
        <v>2</v>
      </c>
      <c r="I61" s="69">
        <v>1</v>
      </c>
      <c r="J61" s="61">
        <f>E61*H61*I61</f>
        <v>8</v>
      </c>
      <c r="K61" s="61" t="s">
        <v>128</v>
      </c>
    </row>
  </sheetData>
  <autoFilter ref="A1:K27" xr:uid="{00000000-0009-0000-0000-000003000000}"/>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497"/>
  <sheetViews>
    <sheetView view="pageLayout" topLeftCell="C1" zoomScaleNormal="100" workbookViewId="0">
      <selection activeCell="D27" sqref="D27"/>
    </sheetView>
  </sheetViews>
  <sheetFormatPr defaultRowHeight="16.5"/>
  <cols>
    <col min="1" max="1" width="14.5" customWidth="1"/>
    <col min="2" max="2" width="16.125" customWidth="1"/>
    <col min="3" max="3" width="21.25" customWidth="1"/>
    <col min="4" max="4" width="30.875" customWidth="1"/>
    <col min="6" max="7" width="8.75" customWidth="1"/>
  </cols>
  <sheetData>
    <row r="1" spans="1:9" ht="17.25" thickBot="1">
      <c r="A1" s="34" t="s">
        <v>135</v>
      </c>
      <c r="B1" s="35" t="s">
        <v>136</v>
      </c>
      <c r="C1" s="35" t="s">
        <v>137</v>
      </c>
      <c r="D1" s="35" t="s">
        <v>120</v>
      </c>
      <c r="E1" s="36" t="s">
        <v>138</v>
      </c>
      <c r="F1" s="36" t="s">
        <v>139</v>
      </c>
      <c r="G1" s="36" t="s">
        <v>140</v>
      </c>
      <c r="I1" s="25" t="s">
        <v>141</v>
      </c>
    </row>
    <row r="2" spans="1:9" ht="17.25" thickBot="1">
      <c r="A2" s="147" t="s">
        <v>142</v>
      </c>
      <c r="B2" s="141" t="s">
        <v>143</v>
      </c>
      <c r="C2" s="37" t="s">
        <v>144</v>
      </c>
      <c r="D2" s="37" t="s">
        <v>144</v>
      </c>
      <c r="E2" s="38" t="s">
        <v>145</v>
      </c>
      <c r="F2" s="38" t="s">
        <v>145</v>
      </c>
      <c r="G2" s="38" t="s">
        <v>146</v>
      </c>
      <c r="I2" s="41" t="s">
        <v>147</v>
      </c>
    </row>
    <row r="3" spans="1:9" ht="17.25" thickBot="1">
      <c r="A3" s="148"/>
      <c r="B3" s="142"/>
      <c r="C3" s="37" t="s">
        <v>148</v>
      </c>
      <c r="D3" s="37" t="s">
        <v>149</v>
      </c>
      <c r="E3" s="38" t="s">
        <v>145</v>
      </c>
      <c r="F3" s="38" t="s">
        <v>145</v>
      </c>
      <c r="G3" s="38" t="s">
        <v>146</v>
      </c>
      <c r="I3" s="42" t="s">
        <v>150</v>
      </c>
    </row>
    <row r="4" spans="1:9" ht="17.25" thickBot="1">
      <c r="A4" s="148"/>
      <c r="B4" s="142"/>
      <c r="C4" s="144" t="s">
        <v>151</v>
      </c>
      <c r="D4" s="37" t="s">
        <v>149</v>
      </c>
      <c r="E4" s="38" t="s">
        <v>145</v>
      </c>
      <c r="F4" s="38" t="s">
        <v>145</v>
      </c>
      <c r="G4" s="38" t="s">
        <v>146</v>
      </c>
      <c r="I4" s="42" t="s">
        <v>152</v>
      </c>
    </row>
    <row r="5" spans="1:9" ht="17.25" thickBot="1">
      <c r="A5" s="148"/>
      <c r="B5" s="142"/>
      <c r="C5" s="145"/>
      <c r="D5" s="39" t="s">
        <v>153</v>
      </c>
      <c r="E5" s="38" t="s">
        <v>146</v>
      </c>
      <c r="F5" s="38" t="s">
        <v>146</v>
      </c>
      <c r="G5" s="38" t="s">
        <v>146</v>
      </c>
      <c r="I5" s="42" t="s">
        <v>154</v>
      </c>
    </row>
    <row r="6" spans="1:9" ht="17.25" thickBot="1">
      <c r="A6" s="148"/>
      <c r="B6" s="142"/>
      <c r="C6" s="144" t="s">
        <v>155</v>
      </c>
      <c r="D6" s="39" t="s">
        <v>156</v>
      </c>
      <c r="E6" s="38" t="s">
        <v>146</v>
      </c>
      <c r="F6" s="38" t="s">
        <v>146</v>
      </c>
      <c r="G6" s="38" t="s">
        <v>146</v>
      </c>
      <c r="I6" s="42" t="s">
        <v>157</v>
      </c>
    </row>
    <row r="7" spans="1:9" ht="17.25" thickBot="1">
      <c r="A7" s="148"/>
      <c r="B7" s="142"/>
      <c r="C7" s="146"/>
      <c r="D7" s="39" t="s">
        <v>158</v>
      </c>
      <c r="E7" s="38" t="s">
        <v>146</v>
      </c>
      <c r="F7" s="38" t="s">
        <v>146</v>
      </c>
      <c r="G7" s="38" t="s">
        <v>146</v>
      </c>
      <c r="I7" s="42" t="s">
        <v>159</v>
      </c>
    </row>
    <row r="8" spans="1:9" ht="17.25" thickBot="1">
      <c r="A8" s="148"/>
      <c r="B8" s="142"/>
      <c r="C8" s="145"/>
      <c r="D8" s="39" t="s">
        <v>160</v>
      </c>
      <c r="E8" s="38" t="s">
        <v>146</v>
      </c>
      <c r="F8" s="38" t="s">
        <v>146</v>
      </c>
      <c r="G8" s="38" t="s">
        <v>146</v>
      </c>
    </row>
    <row r="9" spans="1:9" ht="33" thickBot="1">
      <c r="A9" s="148"/>
      <c r="B9" s="142"/>
      <c r="C9" s="37" t="s">
        <v>161</v>
      </c>
      <c r="D9" s="39" t="s">
        <v>162</v>
      </c>
      <c r="E9" s="40" t="s">
        <v>146</v>
      </c>
      <c r="F9" s="40" t="s">
        <v>146</v>
      </c>
      <c r="G9" s="38" t="s">
        <v>146</v>
      </c>
      <c r="I9" s="25" t="s">
        <v>163</v>
      </c>
    </row>
    <row r="10" spans="1:9" ht="33.75" thickBot="1">
      <c r="A10" s="149"/>
      <c r="B10" s="143"/>
      <c r="C10" s="37" t="s">
        <v>164</v>
      </c>
      <c r="D10" s="37" t="s">
        <v>165</v>
      </c>
      <c r="E10" s="40" t="s">
        <v>146</v>
      </c>
      <c r="F10" s="40" t="s">
        <v>146</v>
      </c>
      <c r="G10" s="40" t="s">
        <v>146</v>
      </c>
      <c r="I10" s="41" t="s">
        <v>166</v>
      </c>
    </row>
    <row r="11" spans="1:9" ht="17.25" thickBot="1">
      <c r="I11" s="42" t="s">
        <v>167</v>
      </c>
    </row>
    <row r="12" spans="1:9" ht="17.25" thickBot="1">
      <c r="A12" s="34" t="s">
        <v>135</v>
      </c>
      <c r="B12" s="35" t="s">
        <v>136</v>
      </c>
      <c r="C12" s="35" t="s">
        <v>137</v>
      </c>
      <c r="D12" s="35" t="s">
        <v>120</v>
      </c>
      <c r="E12" s="36" t="s">
        <v>138</v>
      </c>
      <c r="F12" s="36" t="s">
        <v>139</v>
      </c>
      <c r="G12" s="36" t="s">
        <v>140</v>
      </c>
      <c r="I12" s="42" t="s">
        <v>168</v>
      </c>
    </row>
    <row r="13" spans="1:9" ht="17.25" thickBot="1">
      <c r="A13" s="147" t="s">
        <v>169</v>
      </c>
      <c r="B13" s="141" t="s">
        <v>143</v>
      </c>
      <c r="C13" s="144" t="s">
        <v>170</v>
      </c>
      <c r="D13" s="39" t="s">
        <v>158</v>
      </c>
      <c r="E13" s="38" t="s">
        <v>146</v>
      </c>
      <c r="F13" s="38" t="s">
        <v>146</v>
      </c>
      <c r="G13" s="38" t="s">
        <v>146</v>
      </c>
      <c r="I13" s="42" t="s">
        <v>171</v>
      </c>
    </row>
    <row r="14" spans="1:9" ht="17.25" thickBot="1">
      <c r="A14" s="148"/>
      <c r="B14" s="142"/>
      <c r="C14" s="145"/>
      <c r="D14" s="39" t="s">
        <v>172</v>
      </c>
      <c r="E14" s="38" t="s">
        <v>146</v>
      </c>
      <c r="F14" s="38" t="s">
        <v>146</v>
      </c>
      <c r="G14" s="38" t="s">
        <v>146</v>
      </c>
      <c r="I14" s="42" t="s">
        <v>173</v>
      </c>
    </row>
    <row r="15" spans="1:9" ht="17.25" thickBot="1">
      <c r="A15" s="148"/>
      <c r="B15" s="142"/>
      <c r="C15" s="37" t="s">
        <v>174</v>
      </c>
      <c r="D15" s="39" t="s">
        <v>158</v>
      </c>
      <c r="E15" s="38" t="s">
        <v>146</v>
      </c>
      <c r="F15" s="38" t="s">
        <v>146</v>
      </c>
      <c r="G15" s="38" t="s">
        <v>146</v>
      </c>
      <c r="I15" s="42" t="s">
        <v>175</v>
      </c>
    </row>
    <row r="16" spans="1:9" ht="33" thickBot="1">
      <c r="A16" s="148"/>
      <c r="B16" s="142"/>
      <c r="C16" s="37" t="s">
        <v>176</v>
      </c>
      <c r="D16" s="39" t="s">
        <v>177</v>
      </c>
      <c r="E16" s="38" t="s">
        <v>146</v>
      </c>
      <c r="F16" s="38" t="s">
        <v>146</v>
      </c>
      <c r="G16" s="38" t="s">
        <v>146</v>
      </c>
    </row>
    <row r="17" spans="1:7" ht="17.25" thickBot="1">
      <c r="A17" s="148"/>
      <c r="B17" s="142"/>
      <c r="C17" s="37" t="s">
        <v>178</v>
      </c>
      <c r="D17" s="39" t="s">
        <v>165</v>
      </c>
      <c r="E17" s="38" t="s">
        <v>146</v>
      </c>
      <c r="F17" s="38" t="s">
        <v>146</v>
      </c>
      <c r="G17" s="38" t="s">
        <v>146</v>
      </c>
    </row>
    <row r="18" spans="1:7" ht="33.75" thickBot="1">
      <c r="A18" s="148"/>
      <c r="B18" s="142"/>
      <c r="C18" s="37" t="s">
        <v>179</v>
      </c>
      <c r="D18" s="39" t="s">
        <v>165</v>
      </c>
      <c r="E18" s="38" t="s">
        <v>146</v>
      </c>
      <c r="F18" s="38" t="s">
        <v>146</v>
      </c>
      <c r="G18" s="38" t="s">
        <v>146</v>
      </c>
    </row>
    <row r="19" spans="1:7" ht="17.25" thickBot="1">
      <c r="A19" s="148"/>
      <c r="B19" s="142"/>
      <c r="C19" s="144" t="s">
        <v>180</v>
      </c>
      <c r="D19" s="39" t="s">
        <v>181</v>
      </c>
      <c r="E19" s="38" t="s">
        <v>145</v>
      </c>
      <c r="F19" s="38" t="s">
        <v>145</v>
      </c>
      <c r="G19" s="38" t="s">
        <v>146</v>
      </c>
    </row>
    <row r="20" spans="1:7" ht="17.25" thickBot="1">
      <c r="A20" s="149"/>
      <c r="B20" s="143"/>
      <c r="C20" s="145"/>
      <c r="D20" s="39" t="s">
        <v>182</v>
      </c>
      <c r="E20" s="38" t="s">
        <v>145</v>
      </c>
      <c r="F20" s="38" t="s">
        <v>145</v>
      </c>
      <c r="G20" s="38" t="s">
        <v>146</v>
      </c>
    </row>
    <row r="21" spans="1:7" ht="17.25" thickBot="1"/>
    <row r="22" spans="1:7" ht="17.25" thickBot="1">
      <c r="A22" s="34" t="s">
        <v>135</v>
      </c>
      <c r="B22" s="35" t="s">
        <v>136</v>
      </c>
      <c r="C22" s="35" t="s">
        <v>137</v>
      </c>
      <c r="D22" s="35" t="s">
        <v>120</v>
      </c>
      <c r="E22" s="36" t="s">
        <v>138</v>
      </c>
      <c r="F22" s="36" t="s">
        <v>139</v>
      </c>
      <c r="G22" s="36" t="s">
        <v>140</v>
      </c>
    </row>
    <row r="23" spans="1:7" ht="17.25" thickBot="1">
      <c r="A23" s="147" t="s">
        <v>183</v>
      </c>
      <c r="B23" s="141" t="s">
        <v>143</v>
      </c>
      <c r="C23" s="37" t="s">
        <v>178</v>
      </c>
      <c r="D23" s="37" t="s">
        <v>184</v>
      </c>
      <c r="E23" s="40" t="s">
        <v>146</v>
      </c>
      <c r="F23" s="40" t="s">
        <v>146</v>
      </c>
      <c r="G23" s="40" t="s">
        <v>146</v>
      </c>
    </row>
    <row r="24" spans="1:7" ht="33.75" thickBot="1">
      <c r="A24" s="148"/>
      <c r="B24" s="142"/>
      <c r="C24" s="37" t="s">
        <v>185</v>
      </c>
      <c r="D24" s="37" t="s">
        <v>184</v>
      </c>
      <c r="E24" s="40" t="s">
        <v>146</v>
      </c>
      <c r="F24" s="40" t="s">
        <v>146</v>
      </c>
      <c r="G24" s="40" t="s">
        <v>146</v>
      </c>
    </row>
    <row r="25" spans="1:7" ht="17.25" thickBot="1">
      <c r="A25" s="148"/>
      <c r="B25" s="142"/>
      <c r="C25" s="144" t="s">
        <v>155</v>
      </c>
      <c r="D25" s="39" t="s">
        <v>158</v>
      </c>
      <c r="E25" s="40" t="s">
        <v>146</v>
      </c>
      <c r="F25" s="40" t="s">
        <v>145</v>
      </c>
      <c r="G25" s="40" t="s">
        <v>145</v>
      </c>
    </row>
    <row r="26" spans="1:7" ht="17.25" thickBot="1">
      <c r="A26" s="148"/>
      <c r="B26" s="142"/>
      <c r="C26" s="145"/>
      <c r="D26" s="37" t="s">
        <v>160</v>
      </c>
      <c r="E26" s="40" t="s">
        <v>145</v>
      </c>
      <c r="F26" s="40" t="s">
        <v>146</v>
      </c>
      <c r="G26" s="40" t="s">
        <v>146</v>
      </c>
    </row>
    <row r="27" spans="1:7" ht="17.25" thickBot="1">
      <c r="A27" s="148"/>
      <c r="B27" s="142"/>
      <c r="C27" s="144" t="s">
        <v>186</v>
      </c>
      <c r="D27" s="39" t="s">
        <v>187</v>
      </c>
      <c r="E27" s="40" t="s">
        <v>145</v>
      </c>
      <c r="F27" s="40" t="s">
        <v>146</v>
      </c>
      <c r="G27" s="40" t="s">
        <v>146</v>
      </c>
    </row>
    <row r="28" spans="1:7" ht="17.25" thickBot="1">
      <c r="A28" s="148"/>
      <c r="B28" s="142"/>
      <c r="C28" s="145"/>
      <c r="D28" s="37" t="s">
        <v>188</v>
      </c>
      <c r="E28" s="40" t="s">
        <v>145</v>
      </c>
      <c r="F28" s="40" t="s">
        <v>146</v>
      </c>
      <c r="G28" s="40" t="s">
        <v>146</v>
      </c>
    </row>
    <row r="29" spans="1:7" ht="33" thickBot="1">
      <c r="A29" s="149"/>
      <c r="B29" s="143"/>
      <c r="C29" s="37" t="s">
        <v>176</v>
      </c>
      <c r="D29" s="37" t="s">
        <v>177</v>
      </c>
      <c r="E29" s="40" t="s">
        <v>146</v>
      </c>
      <c r="F29" s="40" t="s">
        <v>146</v>
      </c>
      <c r="G29" s="40" t="s">
        <v>146</v>
      </c>
    </row>
    <row r="30" spans="1:7" ht="17.25" thickBot="1"/>
    <row r="31" spans="1:7" ht="17.25" thickBot="1">
      <c r="A31" s="34" t="s">
        <v>135</v>
      </c>
      <c r="B31" s="35" t="s">
        <v>136</v>
      </c>
      <c r="C31" s="35" t="s">
        <v>137</v>
      </c>
      <c r="D31" s="35" t="s">
        <v>120</v>
      </c>
      <c r="E31" s="36" t="s">
        <v>138</v>
      </c>
      <c r="F31" s="36" t="s">
        <v>139</v>
      </c>
      <c r="G31" s="36" t="s">
        <v>140</v>
      </c>
    </row>
    <row r="32" spans="1:7" ht="17.25" thickBot="1">
      <c r="A32" s="147" t="s">
        <v>189</v>
      </c>
      <c r="B32" s="141" t="s">
        <v>190</v>
      </c>
      <c r="C32" s="144" t="s">
        <v>191</v>
      </c>
      <c r="D32" s="37" t="s">
        <v>192</v>
      </c>
      <c r="E32" s="40" t="s">
        <v>145</v>
      </c>
      <c r="F32" s="40" t="s">
        <v>145</v>
      </c>
      <c r="G32" s="40" t="s">
        <v>146</v>
      </c>
    </row>
    <row r="33" spans="1:7" ht="17.25" thickBot="1">
      <c r="A33" s="148"/>
      <c r="B33" s="142"/>
      <c r="C33" s="146"/>
      <c r="D33" s="37" t="s">
        <v>193</v>
      </c>
      <c r="E33" s="40" t="s">
        <v>145</v>
      </c>
      <c r="F33" s="40" t="s">
        <v>145</v>
      </c>
      <c r="G33" s="40" t="s">
        <v>146</v>
      </c>
    </row>
    <row r="34" spans="1:7" ht="17.25" thickBot="1">
      <c r="A34" s="148"/>
      <c r="B34" s="142"/>
      <c r="C34" s="146"/>
      <c r="D34" s="37" t="s">
        <v>194</v>
      </c>
      <c r="E34" s="40" t="s">
        <v>145</v>
      </c>
      <c r="F34" s="40" t="s">
        <v>146</v>
      </c>
      <c r="G34" s="40" t="s">
        <v>146</v>
      </c>
    </row>
    <row r="35" spans="1:7" ht="17.25" thickBot="1">
      <c r="A35" s="148"/>
      <c r="B35" s="142"/>
      <c r="C35" s="145"/>
      <c r="D35" s="37" t="s">
        <v>188</v>
      </c>
      <c r="E35" s="40" t="s">
        <v>145</v>
      </c>
      <c r="F35" s="40" t="s">
        <v>145</v>
      </c>
      <c r="G35" s="40" t="s">
        <v>146</v>
      </c>
    </row>
    <row r="36" spans="1:7" ht="33.75" thickBot="1">
      <c r="A36" s="148"/>
      <c r="B36" s="142"/>
      <c r="C36" s="37" t="s">
        <v>195</v>
      </c>
      <c r="D36" s="37" t="s">
        <v>158</v>
      </c>
      <c r="E36" s="40" t="s">
        <v>146</v>
      </c>
      <c r="F36" s="40" t="s">
        <v>146</v>
      </c>
      <c r="G36" s="40" t="s">
        <v>146</v>
      </c>
    </row>
    <row r="37" spans="1:7" ht="17.25" thickBot="1">
      <c r="A37" s="148"/>
      <c r="B37" s="142"/>
      <c r="C37" s="144" t="s">
        <v>196</v>
      </c>
      <c r="D37" s="37" t="s">
        <v>158</v>
      </c>
      <c r="E37" s="40" t="s">
        <v>146</v>
      </c>
      <c r="F37" s="40" t="s">
        <v>146</v>
      </c>
      <c r="G37" s="40" t="s">
        <v>146</v>
      </c>
    </row>
    <row r="38" spans="1:7" ht="17.25" thickBot="1">
      <c r="A38" s="148"/>
      <c r="B38" s="142"/>
      <c r="C38" s="146"/>
      <c r="D38" s="37" t="s">
        <v>160</v>
      </c>
      <c r="E38" s="40" t="s">
        <v>146</v>
      </c>
      <c r="F38" s="40" t="s">
        <v>146</v>
      </c>
      <c r="G38" s="40" t="s">
        <v>146</v>
      </c>
    </row>
    <row r="39" spans="1:7" ht="17.25" thickBot="1">
      <c r="A39" s="148"/>
      <c r="B39" s="142"/>
      <c r="C39" s="145"/>
      <c r="D39" s="37" t="s">
        <v>197</v>
      </c>
      <c r="E39" s="40" t="s">
        <v>146</v>
      </c>
      <c r="F39" s="40" t="s">
        <v>146</v>
      </c>
      <c r="G39" s="40" t="s">
        <v>146</v>
      </c>
    </row>
    <row r="40" spans="1:7" ht="17.25" thickBot="1">
      <c r="A40" s="148"/>
      <c r="B40" s="142"/>
      <c r="C40" s="37" t="s">
        <v>198</v>
      </c>
      <c r="D40" s="37" t="s">
        <v>158</v>
      </c>
      <c r="E40" s="40" t="s">
        <v>146</v>
      </c>
      <c r="F40" s="40" t="s">
        <v>146</v>
      </c>
      <c r="G40" s="40" t="s">
        <v>146</v>
      </c>
    </row>
    <row r="41" spans="1:7" ht="17.25" thickBot="1">
      <c r="A41" s="148"/>
      <c r="B41" s="143"/>
      <c r="C41" s="37" t="s">
        <v>199</v>
      </c>
      <c r="D41" s="37" t="s">
        <v>182</v>
      </c>
      <c r="E41" s="40" t="s">
        <v>145</v>
      </c>
      <c r="F41" s="40" t="s">
        <v>146</v>
      </c>
      <c r="G41" s="40" t="s">
        <v>146</v>
      </c>
    </row>
    <row r="42" spans="1:7" ht="17.25" thickBot="1">
      <c r="A42" s="148"/>
      <c r="B42" s="141" t="s">
        <v>200</v>
      </c>
      <c r="C42" s="37" t="s">
        <v>199</v>
      </c>
      <c r="D42" s="39" t="s">
        <v>182</v>
      </c>
      <c r="E42" s="40" t="s">
        <v>145</v>
      </c>
      <c r="F42" s="40" t="s">
        <v>146</v>
      </c>
      <c r="G42" s="40" t="s">
        <v>146</v>
      </c>
    </row>
    <row r="43" spans="1:7" ht="17.25" thickBot="1">
      <c r="A43" s="148"/>
      <c r="B43" s="142"/>
      <c r="C43" s="144" t="s">
        <v>191</v>
      </c>
      <c r="D43" s="37" t="s">
        <v>192</v>
      </c>
      <c r="E43" s="40" t="s">
        <v>145</v>
      </c>
      <c r="F43" s="40" t="s">
        <v>145</v>
      </c>
      <c r="G43" s="40" t="s">
        <v>146</v>
      </c>
    </row>
    <row r="44" spans="1:7" ht="17.25" thickBot="1">
      <c r="A44" s="148"/>
      <c r="B44" s="142"/>
      <c r="C44" s="146"/>
      <c r="D44" s="37" t="s">
        <v>193</v>
      </c>
      <c r="E44" s="40" t="s">
        <v>145</v>
      </c>
      <c r="F44" s="40" t="s">
        <v>145</v>
      </c>
      <c r="G44" s="40" t="s">
        <v>146</v>
      </c>
    </row>
    <row r="45" spans="1:7" ht="17.25" thickBot="1">
      <c r="A45" s="148"/>
      <c r="B45" s="142"/>
      <c r="C45" s="146"/>
      <c r="D45" s="37" t="s">
        <v>194</v>
      </c>
      <c r="E45" s="40" t="s">
        <v>145</v>
      </c>
      <c r="F45" s="40" t="s">
        <v>146</v>
      </c>
      <c r="G45" s="40" t="s">
        <v>146</v>
      </c>
    </row>
    <row r="46" spans="1:7" ht="17.25" thickBot="1">
      <c r="A46" s="148"/>
      <c r="B46" s="142"/>
      <c r="C46" s="145"/>
      <c r="D46" s="37" t="s">
        <v>188</v>
      </c>
      <c r="E46" s="40" t="s">
        <v>145</v>
      </c>
      <c r="F46" s="40" t="s">
        <v>145</v>
      </c>
      <c r="G46" s="40" t="s">
        <v>146</v>
      </c>
    </row>
    <row r="47" spans="1:7" ht="33.75" thickBot="1">
      <c r="A47" s="148"/>
      <c r="B47" s="142"/>
      <c r="C47" s="37" t="s">
        <v>195</v>
      </c>
      <c r="D47" s="37" t="s">
        <v>158</v>
      </c>
      <c r="E47" s="40" t="s">
        <v>146</v>
      </c>
      <c r="F47" s="40" t="s">
        <v>146</v>
      </c>
      <c r="G47" s="40" t="s">
        <v>146</v>
      </c>
    </row>
    <row r="48" spans="1:7" ht="17.25" thickBot="1">
      <c r="A48" s="148"/>
      <c r="B48" s="142"/>
      <c r="C48" s="144" t="s">
        <v>196</v>
      </c>
      <c r="D48" s="37" t="s">
        <v>158</v>
      </c>
      <c r="E48" s="40" t="s">
        <v>146</v>
      </c>
      <c r="F48" s="40" t="s">
        <v>146</v>
      </c>
      <c r="G48" s="40" t="s">
        <v>146</v>
      </c>
    </row>
    <row r="49" spans="1:7" ht="17.25" thickBot="1">
      <c r="A49" s="148"/>
      <c r="B49" s="142"/>
      <c r="C49" s="146"/>
      <c r="D49" s="37" t="s">
        <v>160</v>
      </c>
      <c r="E49" s="40" t="s">
        <v>146</v>
      </c>
      <c r="F49" s="40" t="s">
        <v>146</v>
      </c>
      <c r="G49" s="40" t="s">
        <v>146</v>
      </c>
    </row>
    <row r="50" spans="1:7" ht="17.25" thickBot="1">
      <c r="A50" s="148"/>
      <c r="B50" s="142"/>
      <c r="C50" s="145"/>
      <c r="D50" s="37" t="s">
        <v>197</v>
      </c>
      <c r="E50" s="40" t="s">
        <v>146</v>
      </c>
      <c r="F50" s="40" t="s">
        <v>146</v>
      </c>
      <c r="G50" s="40" t="s">
        <v>146</v>
      </c>
    </row>
    <row r="51" spans="1:7" ht="17.25" thickBot="1">
      <c r="A51" s="148"/>
      <c r="B51" s="143"/>
      <c r="C51" s="37" t="s">
        <v>198</v>
      </c>
      <c r="D51" s="37" t="s">
        <v>158</v>
      </c>
      <c r="E51" s="40" t="s">
        <v>146</v>
      </c>
      <c r="F51" s="40" t="s">
        <v>146</v>
      </c>
      <c r="G51" s="40" t="s">
        <v>146</v>
      </c>
    </row>
    <row r="52" spans="1:7" ht="17.25" thickBot="1">
      <c r="A52" s="148"/>
      <c r="B52" s="141" t="s">
        <v>201</v>
      </c>
      <c r="C52" s="37" t="s">
        <v>199</v>
      </c>
      <c r="D52" s="39" t="s">
        <v>182</v>
      </c>
      <c r="E52" s="40" t="s">
        <v>145</v>
      </c>
      <c r="F52" s="40" t="s">
        <v>146</v>
      </c>
      <c r="G52" s="40" t="s">
        <v>146</v>
      </c>
    </row>
    <row r="53" spans="1:7" ht="17.25" thickBot="1">
      <c r="A53" s="148"/>
      <c r="B53" s="142"/>
      <c r="C53" s="144" t="s">
        <v>191</v>
      </c>
      <c r="D53" s="37" t="s">
        <v>192</v>
      </c>
      <c r="E53" s="40" t="s">
        <v>145</v>
      </c>
      <c r="F53" s="40" t="s">
        <v>145</v>
      </c>
      <c r="G53" s="40" t="s">
        <v>146</v>
      </c>
    </row>
    <row r="54" spans="1:7" ht="17.25" thickBot="1">
      <c r="A54" s="148"/>
      <c r="B54" s="142"/>
      <c r="C54" s="146"/>
      <c r="D54" s="37" t="s">
        <v>193</v>
      </c>
      <c r="E54" s="40" t="s">
        <v>145</v>
      </c>
      <c r="F54" s="40" t="s">
        <v>145</v>
      </c>
      <c r="G54" s="40" t="s">
        <v>146</v>
      </c>
    </row>
    <row r="55" spans="1:7" ht="17.25" thickBot="1">
      <c r="A55" s="148"/>
      <c r="B55" s="142"/>
      <c r="C55" s="146"/>
      <c r="D55" s="37" t="s">
        <v>194</v>
      </c>
      <c r="E55" s="40" t="s">
        <v>145</v>
      </c>
      <c r="F55" s="40" t="s">
        <v>146</v>
      </c>
      <c r="G55" s="40" t="s">
        <v>146</v>
      </c>
    </row>
    <row r="56" spans="1:7" ht="17.25" thickBot="1">
      <c r="A56" s="148"/>
      <c r="B56" s="142"/>
      <c r="C56" s="145"/>
      <c r="D56" s="37" t="s">
        <v>188</v>
      </c>
      <c r="E56" s="40" t="s">
        <v>145</v>
      </c>
      <c r="F56" s="40" t="s">
        <v>145</v>
      </c>
      <c r="G56" s="40" t="s">
        <v>146</v>
      </c>
    </row>
    <row r="57" spans="1:7" ht="33.75" thickBot="1">
      <c r="A57" s="148"/>
      <c r="B57" s="142"/>
      <c r="C57" s="37" t="s">
        <v>195</v>
      </c>
      <c r="D57" s="37" t="s">
        <v>158</v>
      </c>
      <c r="E57" s="40" t="s">
        <v>146</v>
      </c>
      <c r="F57" s="40" t="s">
        <v>146</v>
      </c>
      <c r="G57" s="40" t="s">
        <v>146</v>
      </c>
    </row>
    <row r="58" spans="1:7" ht="17.25" thickBot="1">
      <c r="A58" s="148"/>
      <c r="B58" s="142"/>
      <c r="C58" s="144" t="s">
        <v>196</v>
      </c>
      <c r="D58" s="37" t="s">
        <v>158</v>
      </c>
      <c r="E58" s="40" t="s">
        <v>146</v>
      </c>
      <c r="F58" s="40" t="s">
        <v>146</v>
      </c>
      <c r="G58" s="40" t="s">
        <v>146</v>
      </c>
    </row>
    <row r="59" spans="1:7" ht="17.25" thickBot="1">
      <c r="A59" s="148"/>
      <c r="B59" s="142"/>
      <c r="C59" s="146"/>
      <c r="D59" s="37" t="s">
        <v>160</v>
      </c>
      <c r="E59" s="40" t="s">
        <v>146</v>
      </c>
      <c r="F59" s="40" t="s">
        <v>146</v>
      </c>
      <c r="G59" s="40" t="s">
        <v>146</v>
      </c>
    </row>
    <row r="60" spans="1:7" ht="17.25" thickBot="1">
      <c r="A60" s="148"/>
      <c r="B60" s="142"/>
      <c r="C60" s="145"/>
      <c r="D60" s="37" t="s">
        <v>197</v>
      </c>
      <c r="E60" s="40" t="s">
        <v>146</v>
      </c>
      <c r="F60" s="40" t="s">
        <v>146</v>
      </c>
      <c r="G60" s="40" t="s">
        <v>146</v>
      </c>
    </row>
    <row r="61" spans="1:7" ht="17.25" thickBot="1">
      <c r="A61" s="148"/>
      <c r="B61" s="142"/>
      <c r="C61" s="37" t="s">
        <v>198</v>
      </c>
      <c r="D61" s="37" t="s">
        <v>158</v>
      </c>
      <c r="E61" s="40" t="s">
        <v>146</v>
      </c>
      <c r="F61" s="40" t="s">
        <v>146</v>
      </c>
      <c r="G61" s="40" t="s">
        <v>146</v>
      </c>
    </row>
    <row r="62" spans="1:7" ht="17.25" thickBot="1">
      <c r="A62" s="148"/>
      <c r="B62" s="142"/>
      <c r="C62" s="144" t="s">
        <v>180</v>
      </c>
      <c r="D62" s="39" t="s">
        <v>182</v>
      </c>
      <c r="E62" s="40" t="s">
        <v>145</v>
      </c>
      <c r="F62" s="40" t="s">
        <v>146</v>
      </c>
      <c r="G62" s="40" t="s">
        <v>146</v>
      </c>
    </row>
    <row r="63" spans="1:7" ht="17.25" thickBot="1">
      <c r="A63" s="148"/>
      <c r="B63" s="142"/>
      <c r="C63" s="146"/>
      <c r="D63" s="39" t="s">
        <v>181</v>
      </c>
      <c r="E63" s="40" t="s">
        <v>145</v>
      </c>
      <c r="F63" s="40" t="s">
        <v>146</v>
      </c>
      <c r="G63" s="40" t="s">
        <v>146</v>
      </c>
    </row>
    <row r="64" spans="1:7" ht="17.25" thickBot="1">
      <c r="A64" s="148"/>
      <c r="B64" s="142"/>
      <c r="C64" s="145"/>
      <c r="D64" s="39" t="s">
        <v>160</v>
      </c>
      <c r="E64" s="40" t="s">
        <v>145</v>
      </c>
      <c r="F64" s="40" t="s">
        <v>146</v>
      </c>
      <c r="G64" s="40" t="s">
        <v>146</v>
      </c>
    </row>
    <row r="65" spans="1:7" ht="17.25" thickBot="1">
      <c r="A65" s="148"/>
      <c r="B65" s="142"/>
      <c r="C65" s="144" t="s">
        <v>202</v>
      </c>
      <c r="D65" s="39" t="s">
        <v>193</v>
      </c>
      <c r="E65" s="40" t="s">
        <v>145</v>
      </c>
      <c r="F65" s="40" t="s">
        <v>145</v>
      </c>
      <c r="G65" s="40" t="s">
        <v>146</v>
      </c>
    </row>
    <row r="66" spans="1:7" ht="17.25" thickBot="1">
      <c r="A66" s="148"/>
      <c r="B66" s="143"/>
      <c r="C66" s="145"/>
      <c r="D66" s="39" t="s">
        <v>203</v>
      </c>
      <c r="E66" s="40" t="s">
        <v>145</v>
      </c>
      <c r="F66" s="40" t="s">
        <v>145</v>
      </c>
      <c r="G66" s="40" t="s">
        <v>146</v>
      </c>
    </row>
    <row r="67" spans="1:7" ht="17.25" thickBot="1">
      <c r="A67" s="148"/>
      <c r="B67" s="141" t="s">
        <v>204</v>
      </c>
      <c r="C67" s="144" t="s">
        <v>191</v>
      </c>
      <c r="D67" s="37" t="s">
        <v>192</v>
      </c>
      <c r="E67" s="40" t="s">
        <v>145</v>
      </c>
      <c r="F67" s="40" t="s">
        <v>145</v>
      </c>
      <c r="G67" s="40" t="s">
        <v>146</v>
      </c>
    </row>
    <row r="68" spans="1:7" ht="17.25" thickBot="1">
      <c r="A68" s="148"/>
      <c r="B68" s="142"/>
      <c r="C68" s="146"/>
      <c r="D68" s="37" t="s">
        <v>193</v>
      </c>
      <c r="E68" s="40" t="s">
        <v>145</v>
      </c>
      <c r="F68" s="40" t="s">
        <v>145</v>
      </c>
      <c r="G68" s="40" t="s">
        <v>146</v>
      </c>
    </row>
    <row r="69" spans="1:7" ht="17.25" thickBot="1">
      <c r="A69" s="148"/>
      <c r="B69" s="142"/>
      <c r="C69" s="146"/>
      <c r="D69" s="37" t="s">
        <v>194</v>
      </c>
      <c r="E69" s="40" t="s">
        <v>145</v>
      </c>
      <c r="F69" s="40" t="s">
        <v>146</v>
      </c>
      <c r="G69" s="40" t="s">
        <v>146</v>
      </c>
    </row>
    <row r="70" spans="1:7" ht="17.25" thickBot="1">
      <c r="A70" s="148"/>
      <c r="B70" s="142"/>
      <c r="C70" s="145"/>
      <c r="D70" s="37" t="s">
        <v>188</v>
      </c>
      <c r="E70" s="40" t="s">
        <v>145</v>
      </c>
      <c r="F70" s="40" t="s">
        <v>145</v>
      </c>
      <c r="G70" s="40" t="s">
        <v>146</v>
      </c>
    </row>
    <row r="71" spans="1:7" ht="33.75" thickBot="1">
      <c r="A71" s="148"/>
      <c r="B71" s="142"/>
      <c r="C71" s="37" t="s">
        <v>195</v>
      </c>
      <c r="D71" s="37" t="s">
        <v>158</v>
      </c>
      <c r="E71" s="40" t="s">
        <v>146</v>
      </c>
      <c r="F71" s="40" t="s">
        <v>146</v>
      </c>
      <c r="G71" s="40" t="s">
        <v>146</v>
      </c>
    </row>
    <row r="72" spans="1:7" ht="17.25" thickBot="1">
      <c r="A72" s="148"/>
      <c r="B72" s="142"/>
      <c r="C72" s="37" t="s">
        <v>199</v>
      </c>
      <c r="D72" s="39" t="s">
        <v>182</v>
      </c>
      <c r="E72" s="40" t="s">
        <v>145</v>
      </c>
      <c r="F72" s="40" t="s">
        <v>146</v>
      </c>
      <c r="G72" s="40" t="s">
        <v>146</v>
      </c>
    </row>
    <row r="73" spans="1:7" ht="17.25" thickBot="1">
      <c r="A73" s="148"/>
      <c r="B73" s="142"/>
      <c r="C73" s="144" t="s">
        <v>196</v>
      </c>
      <c r="D73" s="37" t="s">
        <v>158</v>
      </c>
      <c r="E73" s="40" t="s">
        <v>146</v>
      </c>
      <c r="F73" s="40" t="s">
        <v>146</v>
      </c>
      <c r="G73" s="40" t="s">
        <v>146</v>
      </c>
    </row>
    <row r="74" spans="1:7" ht="17.25" thickBot="1">
      <c r="A74" s="148"/>
      <c r="B74" s="142"/>
      <c r="C74" s="146"/>
      <c r="D74" s="37" t="s">
        <v>160</v>
      </c>
      <c r="E74" s="40" t="s">
        <v>146</v>
      </c>
      <c r="F74" s="40" t="s">
        <v>146</v>
      </c>
      <c r="G74" s="40" t="s">
        <v>146</v>
      </c>
    </row>
    <row r="75" spans="1:7" ht="17.25" thickBot="1">
      <c r="A75" s="148"/>
      <c r="B75" s="143"/>
      <c r="C75" s="145"/>
      <c r="D75" s="37" t="s">
        <v>197</v>
      </c>
      <c r="E75" s="40" t="s">
        <v>146</v>
      </c>
      <c r="F75" s="40" t="s">
        <v>146</v>
      </c>
      <c r="G75" s="40" t="s">
        <v>146</v>
      </c>
    </row>
    <row r="76" spans="1:7" ht="17.25" thickBot="1">
      <c r="A76" s="148"/>
      <c r="B76" s="141" t="s">
        <v>205</v>
      </c>
      <c r="C76" s="37" t="s">
        <v>199</v>
      </c>
      <c r="D76" s="39" t="s">
        <v>182</v>
      </c>
      <c r="E76" s="40" t="s">
        <v>145</v>
      </c>
      <c r="F76" s="40" t="s">
        <v>146</v>
      </c>
      <c r="G76" s="40" t="s">
        <v>146</v>
      </c>
    </row>
    <row r="77" spans="1:7" ht="17.25" thickBot="1">
      <c r="A77" s="148"/>
      <c r="B77" s="142"/>
      <c r="C77" s="144" t="s">
        <v>206</v>
      </c>
      <c r="D77" s="37" t="s">
        <v>207</v>
      </c>
      <c r="E77" s="40" t="s">
        <v>145</v>
      </c>
      <c r="F77" s="40" t="s">
        <v>145</v>
      </c>
      <c r="G77" s="40" t="s">
        <v>146</v>
      </c>
    </row>
    <row r="78" spans="1:7" ht="17.25" thickBot="1">
      <c r="A78" s="148"/>
      <c r="B78" s="142"/>
      <c r="C78" s="146"/>
      <c r="D78" s="37" t="s">
        <v>208</v>
      </c>
      <c r="E78" s="40" t="s">
        <v>145</v>
      </c>
      <c r="F78" s="40" t="s">
        <v>146</v>
      </c>
      <c r="G78" s="40" t="s">
        <v>146</v>
      </c>
    </row>
    <row r="79" spans="1:7" ht="17.25" thickBot="1">
      <c r="A79" s="148"/>
      <c r="B79" s="142"/>
      <c r="C79" s="145"/>
      <c r="D79" s="37" t="s">
        <v>209</v>
      </c>
      <c r="E79" s="40" t="s">
        <v>145</v>
      </c>
      <c r="F79" s="40" t="s">
        <v>146</v>
      </c>
      <c r="G79" s="40" t="s">
        <v>146</v>
      </c>
    </row>
    <row r="80" spans="1:7" ht="17.25" thickBot="1">
      <c r="A80" s="148"/>
      <c r="B80" s="142"/>
      <c r="C80" s="144" t="s">
        <v>191</v>
      </c>
      <c r="D80" s="37" t="s">
        <v>192</v>
      </c>
      <c r="E80" s="40" t="s">
        <v>145</v>
      </c>
      <c r="F80" s="40" t="s">
        <v>145</v>
      </c>
      <c r="G80" s="40" t="s">
        <v>146</v>
      </c>
    </row>
    <row r="81" spans="1:7" ht="17.25" thickBot="1">
      <c r="A81" s="148"/>
      <c r="B81" s="142"/>
      <c r="C81" s="146"/>
      <c r="D81" s="37" t="s">
        <v>193</v>
      </c>
      <c r="E81" s="40" t="s">
        <v>145</v>
      </c>
      <c r="F81" s="40" t="s">
        <v>145</v>
      </c>
      <c r="G81" s="40" t="s">
        <v>146</v>
      </c>
    </row>
    <row r="82" spans="1:7" ht="17.25" thickBot="1">
      <c r="A82" s="148"/>
      <c r="B82" s="142"/>
      <c r="C82" s="146"/>
      <c r="D82" s="37" t="s">
        <v>194</v>
      </c>
      <c r="E82" s="40" t="s">
        <v>145</v>
      </c>
      <c r="F82" s="40" t="s">
        <v>146</v>
      </c>
      <c r="G82" s="40" t="s">
        <v>146</v>
      </c>
    </row>
    <row r="83" spans="1:7" ht="17.25" thickBot="1">
      <c r="A83" s="148"/>
      <c r="B83" s="142"/>
      <c r="C83" s="145"/>
      <c r="D83" s="37" t="s">
        <v>188</v>
      </c>
      <c r="E83" s="40" t="s">
        <v>145</v>
      </c>
      <c r="F83" s="40" t="s">
        <v>145</v>
      </c>
      <c r="G83" s="40" t="s">
        <v>146</v>
      </c>
    </row>
    <row r="84" spans="1:7" ht="33.75" thickBot="1">
      <c r="A84" s="148"/>
      <c r="B84" s="142"/>
      <c r="C84" s="37" t="s">
        <v>195</v>
      </c>
      <c r="D84" s="37" t="s">
        <v>158</v>
      </c>
      <c r="E84" s="40" t="s">
        <v>146</v>
      </c>
      <c r="F84" s="40" t="s">
        <v>146</v>
      </c>
      <c r="G84" s="40" t="s">
        <v>146</v>
      </c>
    </row>
    <row r="85" spans="1:7" ht="17.25" thickBot="1">
      <c r="A85" s="148"/>
      <c r="B85" s="142"/>
      <c r="C85" s="144" t="s">
        <v>196</v>
      </c>
      <c r="D85" s="37" t="s">
        <v>158</v>
      </c>
      <c r="E85" s="40" t="s">
        <v>146</v>
      </c>
      <c r="F85" s="40" t="s">
        <v>146</v>
      </c>
      <c r="G85" s="40" t="s">
        <v>146</v>
      </c>
    </row>
    <row r="86" spans="1:7" ht="17.25" thickBot="1">
      <c r="A86" s="148"/>
      <c r="B86" s="142"/>
      <c r="C86" s="146"/>
      <c r="D86" s="37" t="s">
        <v>160</v>
      </c>
      <c r="E86" s="40" t="s">
        <v>146</v>
      </c>
      <c r="F86" s="40" t="s">
        <v>146</v>
      </c>
      <c r="G86" s="40" t="s">
        <v>146</v>
      </c>
    </row>
    <row r="87" spans="1:7" ht="17.25" thickBot="1">
      <c r="A87" s="148"/>
      <c r="B87" s="142"/>
      <c r="C87" s="145"/>
      <c r="D87" s="37" t="s">
        <v>197</v>
      </c>
      <c r="E87" s="40" t="s">
        <v>146</v>
      </c>
      <c r="F87" s="40" t="s">
        <v>146</v>
      </c>
      <c r="G87" s="40" t="s">
        <v>146</v>
      </c>
    </row>
    <row r="88" spans="1:7" ht="17.25" thickBot="1">
      <c r="A88" s="148"/>
      <c r="B88" s="142"/>
      <c r="C88" s="144" t="s">
        <v>210</v>
      </c>
      <c r="D88" s="37" t="s">
        <v>211</v>
      </c>
      <c r="E88" s="40" t="s">
        <v>146</v>
      </c>
      <c r="F88" s="40" t="s">
        <v>145</v>
      </c>
      <c r="G88" s="40" t="s">
        <v>146</v>
      </c>
    </row>
    <row r="89" spans="1:7" ht="17.25" thickBot="1">
      <c r="A89" s="148"/>
      <c r="B89" s="142"/>
      <c r="C89" s="146"/>
      <c r="D89" s="37" t="s">
        <v>212</v>
      </c>
      <c r="E89" s="40" t="s">
        <v>146</v>
      </c>
      <c r="F89" s="40" t="s">
        <v>145</v>
      </c>
      <c r="G89" s="40" t="s">
        <v>146</v>
      </c>
    </row>
    <row r="90" spans="1:7" ht="17.25" thickBot="1">
      <c r="A90" s="148"/>
      <c r="B90" s="142"/>
      <c r="C90" s="146"/>
      <c r="D90" s="37" t="s">
        <v>213</v>
      </c>
      <c r="E90" s="40" t="s">
        <v>146</v>
      </c>
      <c r="F90" s="40" t="s">
        <v>146</v>
      </c>
      <c r="G90" s="40" t="s">
        <v>146</v>
      </c>
    </row>
    <row r="91" spans="1:7" ht="17.25" thickBot="1">
      <c r="A91" s="148"/>
      <c r="B91" s="142"/>
      <c r="C91" s="146"/>
      <c r="D91" s="37" t="s">
        <v>153</v>
      </c>
      <c r="E91" s="40" t="s">
        <v>146</v>
      </c>
      <c r="F91" s="40" t="s">
        <v>145</v>
      </c>
      <c r="G91" s="40" t="s">
        <v>146</v>
      </c>
    </row>
    <row r="92" spans="1:7" ht="17.25" thickBot="1">
      <c r="A92" s="148"/>
      <c r="B92" s="142"/>
      <c r="C92" s="145"/>
      <c r="D92" s="37" t="s">
        <v>203</v>
      </c>
      <c r="E92" s="40" t="s">
        <v>145</v>
      </c>
      <c r="F92" s="40" t="s">
        <v>146</v>
      </c>
      <c r="G92" s="40" t="s">
        <v>146</v>
      </c>
    </row>
    <row r="93" spans="1:7" ht="17.25" thickBot="1">
      <c r="A93" s="148"/>
      <c r="B93" s="142"/>
      <c r="C93" s="144" t="s">
        <v>202</v>
      </c>
      <c r="D93" s="39" t="s">
        <v>193</v>
      </c>
      <c r="E93" s="40" t="s">
        <v>145</v>
      </c>
      <c r="F93" s="40" t="s">
        <v>145</v>
      </c>
      <c r="G93" s="40" t="s">
        <v>146</v>
      </c>
    </row>
    <row r="94" spans="1:7" ht="17.25" thickBot="1">
      <c r="A94" s="148"/>
      <c r="B94" s="142"/>
      <c r="C94" s="145"/>
      <c r="D94" s="39" t="s">
        <v>203</v>
      </c>
      <c r="E94" s="40" t="s">
        <v>145</v>
      </c>
      <c r="F94" s="40" t="s">
        <v>145</v>
      </c>
      <c r="G94" s="40" t="s">
        <v>146</v>
      </c>
    </row>
    <row r="95" spans="1:7" ht="17.25" thickBot="1">
      <c r="A95" s="149"/>
      <c r="B95" s="143"/>
      <c r="C95" s="37" t="s">
        <v>214</v>
      </c>
      <c r="D95" s="39" t="s">
        <v>215</v>
      </c>
      <c r="E95" s="40" t="s">
        <v>145</v>
      </c>
      <c r="F95" s="40" t="s">
        <v>145</v>
      </c>
      <c r="G95" s="40" t="s">
        <v>146</v>
      </c>
    </row>
    <row r="96" spans="1:7" ht="17.25" thickBot="1"/>
    <row r="97" spans="1:7" ht="17.25" thickBot="1">
      <c r="A97" s="34" t="s">
        <v>135</v>
      </c>
      <c r="B97" s="35" t="s">
        <v>136</v>
      </c>
      <c r="C97" s="35" t="s">
        <v>137</v>
      </c>
      <c r="D97" s="35" t="s">
        <v>120</v>
      </c>
      <c r="E97" s="36" t="s">
        <v>138</v>
      </c>
      <c r="F97" s="36" t="s">
        <v>139</v>
      </c>
      <c r="G97" s="36" t="s">
        <v>140</v>
      </c>
    </row>
    <row r="98" spans="1:7" ht="17.25" thickBot="1">
      <c r="A98" s="147" t="s">
        <v>216</v>
      </c>
      <c r="B98" s="150" t="s">
        <v>217</v>
      </c>
      <c r="C98" s="37" t="s">
        <v>180</v>
      </c>
      <c r="D98" s="37" t="s">
        <v>218</v>
      </c>
      <c r="E98" s="40" t="s">
        <v>146</v>
      </c>
      <c r="F98" s="40" t="s">
        <v>146</v>
      </c>
      <c r="G98" s="40" t="s">
        <v>146</v>
      </c>
    </row>
    <row r="99" spans="1:7" ht="17.25" thickBot="1">
      <c r="A99" s="148"/>
      <c r="B99" s="151"/>
      <c r="C99" s="144" t="s">
        <v>219</v>
      </c>
      <c r="D99" s="37" t="s">
        <v>165</v>
      </c>
      <c r="E99" s="40" t="s">
        <v>145</v>
      </c>
      <c r="F99" s="40" t="s">
        <v>146</v>
      </c>
      <c r="G99" s="40" t="s">
        <v>146</v>
      </c>
    </row>
    <row r="100" spans="1:7" ht="17.25" thickBot="1">
      <c r="A100" s="148"/>
      <c r="B100" s="151"/>
      <c r="C100" s="145"/>
      <c r="D100" s="37" t="s">
        <v>220</v>
      </c>
      <c r="E100" s="40" t="s">
        <v>145</v>
      </c>
      <c r="F100" s="40" t="s">
        <v>145</v>
      </c>
      <c r="G100" s="40" t="s">
        <v>146</v>
      </c>
    </row>
    <row r="101" spans="1:7" ht="17.25" thickBot="1">
      <c r="A101" s="148"/>
      <c r="B101" s="151"/>
      <c r="C101" s="144" t="s">
        <v>221</v>
      </c>
      <c r="D101" s="37" t="s">
        <v>165</v>
      </c>
      <c r="E101" s="40" t="s">
        <v>145</v>
      </c>
      <c r="F101" s="40" t="s">
        <v>146</v>
      </c>
      <c r="G101" s="40" t="s">
        <v>146</v>
      </c>
    </row>
    <row r="102" spans="1:7" ht="17.25" thickBot="1">
      <c r="A102" s="148"/>
      <c r="B102" s="151"/>
      <c r="C102" s="145"/>
      <c r="D102" s="37" t="s">
        <v>220</v>
      </c>
      <c r="E102" s="40" t="s">
        <v>145</v>
      </c>
      <c r="F102" s="40" t="s">
        <v>146</v>
      </c>
      <c r="G102" s="40" t="s">
        <v>146</v>
      </c>
    </row>
    <row r="103" spans="1:7" ht="17.25" thickBot="1">
      <c r="A103" s="148"/>
      <c r="B103" s="151"/>
      <c r="C103" s="144" t="s">
        <v>191</v>
      </c>
      <c r="D103" s="37" t="s">
        <v>193</v>
      </c>
      <c r="E103" s="40" t="s">
        <v>145</v>
      </c>
      <c r="F103" s="40" t="s">
        <v>145</v>
      </c>
      <c r="G103" s="40" t="s">
        <v>146</v>
      </c>
    </row>
    <row r="104" spans="1:7" ht="17.25" thickBot="1">
      <c r="A104" s="148"/>
      <c r="B104" s="151"/>
      <c r="C104" s="146"/>
      <c r="D104" s="37" t="s">
        <v>222</v>
      </c>
      <c r="E104" s="40" t="s">
        <v>145</v>
      </c>
      <c r="F104" s="40" t="s">
        <v>145</v>
      </c>
      <c r="G104" s="40" t="s">
        <v>146</v>
      </c>
    </row>
    <row r="105" spans="1:7" ht="17.25" thickBot="1">
      <c r="A105" s="148"/>
      <c r="B105" s="151"/>
      <c r="C105" s="146"/>
      <c r="D105" s="37" t="s">
        <v>194</v>
      </c>
      <c r="E105" s="40" t="s">
        <v>145</v>
      </c>
      <c r="F105" s="40" t="s">
        <v>145</v>
      </c>
      <c r="G105" s="40" t="s">
        <v>146</v>
      </c>
    </row>
    <row r="106" spans="1:7" ht="17.25" thickBot="1">
      <c r="A106" s="148"/>
      <c r="B106" s="151"/>
      <c r="C106" s="145"/>
      <c r="D106" s="37" t="s">
        <v>134</v>
      </c>
      <c r="E106" s="40" t="s">
        <v>145</v>
      </c>
      <c r="F106" s="40" t="s">
        <v>146</v>
      </c>
      <c r="G106" s="40" t="s">
        <v>146</v>
      </c>
    </row>
    <row r="107" spans="1:7" ht="17.25" thickBot="1">
      <c r="A107" s="148"/>
      <c r="B107" s="151"/>
      <c r="C107" s="37" t="s">
        <v>129</v>
      </c>
      <c r="D107" s="37" t="s">
        <v>130</v>
      </c>
      <c r="E107" s="40" t="s">
        <v>146</v>
      </c>
      <c r="F107" s="40" t="s">
        <v>145</v>
      </c>
      <c r="G107" s="40" t="s">
        <v>145</v>
      </c>
    </row>
    <row r="108" spans="1:7" ht="33.75" thickBot="1">
      <c r="A108" s="148"/>
      <c r="B108" s="151"/>
      <c r="C108" s="37" t="s">
        <v>223</v>
      </c>
      <c r="D108" s="37" t="s">
        <v>132</v>
      </c>
      <c r="E108" s="40" t="s">
        <v>146</v>
      </c>
      <c r="F108" s="40" t="s">
        <v>145</v>
      </c>
      <c r="G108" s="40" t="s">
        <v>145</v>
      </c>
    </row>
    <row r="109" spans="1:7" ht="17.25" thickBot="1">
      <c r="A109" s="148"/>
      <c r="B109" s="151"/>
      <c r="C109" s="144" t="s">
        <v>224</v>
      </c>
      <c r="D109" s="37" t="s">
        <v>130</v>
      </c>
      <c r="E109" s="40" t="s">
        <v>146</v>
      </c>
      <c r="F109" s="40" t="s">
        <v>145</v>
      </c>
      <c r="G109" s="40" t="s">
        <v>145</v>
      </c>
    </row>
    <row r="110" spans="1:7" ht="17.25" thickBot="1">
      <c r="A110" s="148"/>
      <c r="B110" s="151"/>
      <c r="C110" s="145"/>
      <c r="D110" s="37" t="s">
        <v>158</v>
      </c>
      <c r="E110" s="40" t="s">
        <v>146</v>
      </c>
      <c r="F110" s="40" t="s">
        <v>145</v>
      </c>
      <c r="G110" s="40" t="s">
        <v>145</v>
      </c>
    </row>
    <row r="111" spans="1:7" ht="33.75" thickBot="1">
      <c r="A111" s="148"/>
      <c r="B111" s="151"/>
      <c r="C111" s="37" t="s">
        <v>225</v>
      </c>
      <c r="D111" s="37" t="s">
        <v>130</v>
      </c>
      <c r="E111" s="40" t="s">
        <v>146</v>
      </c>
      <c r="F111" s="40" t="s">
        <v>145</v>
      </c>
      <c r="G111" s="40" t="s">
        <v>145</v>
      </c>
    </row>
    <row r="112" spans="1:7" ht="17.25" thickBot="1">
      <c r="A112" s="148"/>
      <c r="B112" s="151"/>
      <c r="C112" s="37" t="s">
        <v>133</v>
      </c>
      <c r="D112" s="37" t="s">
        <v>134</v>
      </c>
      <c r="E112" s="40" t="s">
        <v>145</v>
      </c>
      <c r="F112" s="40" t="s">
        <v>146</v>
      </c>
      <c r="G112" s="40" t="s">
        <v>146</v>
      </c>
    </row>
    <row r="113" spans="1:7" ht="33.75" thickBot="1">
      <c r="A113" s="148"/>
      <c r="B113" s="151"/>
      <c r="C113" s="37" t="s">
        <v>226</v>
      </c>
      <c r="D113" s="37" t="s">
        <v>132</v>
      </c>
      <c r="E113" s="40" t="s">
        <v>146</v>
      </c>
      <c r="F113" s="40" t="s">
        <v>145</v>
      </c>
      <c r="G113" s="40" t="s">
        <v>145</v>
      </c>
    </row>
    <row r="114" spans="1:7" ht="17.25" thickBot="1">
      <c r="A114" s="148"/>
      <c r="B114" s="151"/>
      <c r="C114" s="37" t="s">
        <v>227</v>
      </c>
      <c r="D114" s="37" t="s">
        <v>130</v>
      </c>
      <c r="E114" s="40" t="s">
        <v>146</v>
      </c>
      <c r="F114" s="40" t="s">
        <v>145</v>
      </c>
      <c r="G114" s="40" t="s">
        <v>145</v>
      </c>
    </row>
    <row r="115" spans="1:7" ht="33.75" thickBot="1">
      <c r="A115" s="148"/>
      <c r="B115" s="151"/>
      <c r="C115" s="37" t="s">
        <v>228</v>
      </c>
      <c r="D115" s="37" t="s">
        <v>134</v>
      </c>
      <c r="E115" s="40" t="s">
        <v>145</v>
      </c>
      <c r="F115" s="40" t="s">
        <v>146</v>
      </c>
      <c r="G115" s="40" t="s">
        <v>146</v>
      </c>
    </row>
    <row r="116" spans="1:7" ht="17.25" thickBot="1">
      <c r="A116" s="148"/>
      <c r="B116" s="151"/>
      <c r="C116" s="144" t="s">
        <v>126</v>
      </c>
      <c r="D116" s="37" t="s">
        <v>153</v>
      </c>
      <c r="E116" s="40" t="s">
        <v>146</v>
      </c>
      <c r="F116" s="40" t="s">
        <v>146</v>
      </c>
      <c r="G116" s="40" t="s">
        <v>145</v>
      </c>
    </row>
    <row r="117" spans="1:7" ht="17.25" thickBot="1">
      <c r="A117" s="148"/>
      <c r="B117" s="151"/>
      <c r="C117" s="146"/>
      <c r="D117" s="37" t="s">
        <v>127</v>
      </c>
      <c r="E117" s="40" t="s">
        <v>145</v>
      </c>
      <c r="F117" s="40" t="s">
        <v>146</v>
      </c>
      <c r="G117" s="40" t="s">
        <v>146</v>
      </c>
    </row>
    <row r="118" spans="1:7" ht="17.25" thickBot="1">
      <c r="A118" s="148"/>
      <c r="B118" s="152"/>
      <c r="C118" s="145"/>
      <c r="D118" s="37" t="s">
        <v>134</v>
      </c>
      <c r="E118" s="40" t="s">
        <v>145</v>
      </c>
      <c r="F118" s="40" t="s">
        <v>146</v>
      </c>
      <c r="G118" s="40" t="s">
        <v>146</v>
      </c>
    </row>
    <row r="119" spans="1:7" ht="17.25" thickBot="1">
      <c r="A119" s="148"/>
      <c r="B119" s="141" t="s">
        <v>229</v>
      </c>
      <c r="C119" s="37" t="s">
        <v>180</v>
      </c>
      <c r="D119" s="37" t="s">
        <v>218</v>
      </c>
      <c r="E119" s="40" t="s">
        <v>146</v>
      </c>
      <c r="F119" s="40" t="s">
        <v>146</v>
      </c>
      <c r="G119" s="40" t="s">
        <v>146</v>
      </c>
    </row>
    <row r="120" spans="1:7" ht="17.25" thickBot="1">
      <c r="A120" s="148"/>
      <c r="B120" s="142"/>
      <c r="C120" s="144" t="s">
        <v>219</v>
      </c>
      <c r="D120" s="37" t="s">
        <v>165</v>
      </c>
      <c r="E120" s="40" t="s">
        <v>145</v>
      </c>
      <c r="F120" s="40" t="s">
        <v>146</v>
      </c>
      <c r="G120" s="40" t="s">
        <v>146</v>
      </c>
    </row>
    <row r="121" spans="1:7" ht="17.25" thickBot="1">
      <c r="A121" s="148"/>
      <c r="B121" s="142"/>
      <c r="C121" s="145"/>
      <c r="D121" s="37" t="s">
        <v>220</v>
      </c>
      <c r="E121" s="40" t="s">
        <v>145</v>
      </c>
      <c r="F121" s="40" t="s">
        <v>145</v>
      </c>
      <c r="G121" s="40" t="s">
        <v>146</v>
      </c>
    </row>
    <row r="122" spans="1:7" ht="17.25" thickBot="1">
      <c r="A122" s="148"/>
      <c r="B122" s="142"/>
      <c r="C122" s="144" t="s">
        <v>221</v>
      </c>
      <c r="D122" s="37" t="s">
        <v>165</v>
      </c>
      <c r="E122" s="40" t="s">
        <v>145</v>
      </c>
      <c r="F122" s="40" t="s">
        <v>146</v>
      </c>
      <c r="G122" s="40" t="s">
        <v>146</v>
      </c>
    </row>
    <row r="123" spans="1:7" ht="17.25" thickBot="1">
      <c r="A123" s="148"/>
      <c r="B123" s="142"/>
      <c r="C123" s="145"/>
      <c r="D123" s="37" t="s">
        <v>220</v>
      </c>
      <c r="E123" s="40" t="s">
        <v>145</v>
      </c>
      <c r="F123" s="40" t="s">
        <v>146</v>
      </c>
      <c r="G123" s="40" t="s">
        <v>146</v>
      </c>
    </row>
    <row r="124" spans="1:7" ht="17.25" thickBot="1">
      <c r="A124" s="148"/>
      <c r="B124" s="142"/>
      <c r="C124" s="144" t="s">
        <v>191</v>
      </c>
      <c r="D124" s="37" t="s">
        <v>193</v>
      </c>
      <c r="E124" s="40" t="s">
        <v>145</v>
      </c>
      <c r="F124" s="40" t="s">
        <v>145</v>
      </c>
      <c r="G124" s="40" t="s">
        <v>146</v>
      </c>
    </row>
    <row r="125" spans="1:7" ht="17.25" thickBot="1">
      <c r="A125" s="148"/>
      <c r="B125" s="142"/>
      <c r="C125" s="146"/>
      <c r="D125" s="37" t="s">
        <v>222</v>
      </c>
      <c r="E125" s="40" t="s">
        <v>145</v>
      </c>
      <c r="F125" s="40" t="s">
        <v>145</v>
      </c>
      <c r="G125" s="40" t="s">
        <v>146</v>
      </c>
    </row>
    <row r="126" spans="1:7" ht="17.25" thickBot="1">
      <c r="A126" s="148"/>
      <c r="B126" s="142"/>
      <c r="C126" s="146"/>
      <c r="D126" s="37" t="s">
        <v>194</v>
      </c>
      <c r="E126" s="40" t="s">
        <v>145</v>
      </c>
      <c r="F126" s="40" t="s">
        <v>145</v>
      </c>
      <c r="G126" s="40" t="s">
        <v>146</v>
      </c>
    </row>
    <row r="127" spans="1:7" ht="17.25" thickBot="1">
      <c r="A127" s="148"/>
      <c r="B127" s="142"/>
      <c r="C127" s="145"/>
      <c r="D127" s="37" t="s">
        <v>134</v>
      </c>
      <c r="E127" s="40" t="s">
        <v>145</v>
      </c>
      <c r="F127" s="40" t="s">
        <v>146</v>
      </c>
      <c r="G127" s="40" t="s">
        <v>146</v>
      </c>
    </row>
    <row r="128" spans="1:7" ht="17.25" thickBot="1">
      <c r="A128" s="148"/>
      <c r="B128" s="142"/>
      <c r="C128" s="37" t="s">
        <v>129</v>
      </c>
      <c r="D128" s="37" t="s">
        <v>130</v>
      </c>
      <c r="E128" s="40" t="s">
        <v>146</v>
      </c>
      <c r="F128" s="40" t="s">
        <v>145</v>
      </c>
      <c r="G128" s="40" t="s">
        <v>145</v>
      </c>
    </row>
    <row r="129" spans="1:7" ht="17.25" thickBot="1">
      <c r="A129" s="148"/>
      <c r="B129" s="142"/>
      <c r="C129" s="144" t="s">
        <v>179</v>
      </c>
      <c r="D129" s="37" t="s">
        <v>220</v>
      </c>
      <c r="E129" s="40" t="s">
        <v>145</v>
      </c>
      <c r="F129" s="40" t="s">
        <v>146</v>
      </c>
      <c r="G129" s="40" t="s">
        <v>146</v>
      </c>
    </row>
    <row r="130" spans="1:7" ht="17.25" thickBot="1">
      <c r="A130" s="148"/>
      <c r="B130" s="142"/>
      <c r="C130" s="146"/>
      <c r="D130" s="37" t="s">
        <v>165</v>
      </c>
      <c r="E130" s="40" t="s">
        <v>145</v>
      </c>
      <c r="F130" s="40" t="s">
        <v>146</v>
      </c>
      <c r="G130" s="40" t="s">
        <v>146</v>
      </c>
    </row>
    <row r="131" spans="1:7" ht="17.25" thickBot="1">
      <c r="A131" s="148"/>
      <c r="B131" s="142"/>
      <c r="C131" s="145"/>
      <c r="D131" s="37" t="s">
        <v>134</v>
      </c>
      <c r="E131" s="40" t="s">
        <v>145</v>
      </c>
      <c r="F131" s="40" t="s">
        <v>146</v>
      </c>
      <c r="G131" s="40" t="s">
        <v>146</v>
      </c>
    </row>
    <row r="132" spans="1:7" ht="33.75" thickBot="1">
      <c r="A132" s="148"/>
      <c r="B132" s="142"/>
      <c r="C132" s="37" t="s">
        <v>223</v>
      </c>
      <c r="D132" s="37" t="s">
        <v>132</v>
      </c>
      <c r="E132" s="40" t="s">
        <v>146</v>
      </c>
      <c r="F132" s="40" t="s">
        <v>145</v>
      </c>
      <c r="G132" s="40" t="s">
        <v>145</v>
      </c>
    </row>
    <row r="133" spans="1:7" ht="17.25" thickBot="1">
      <c r="A133" s="148"/>
      <c r="B133" s="142"/>
      <c r="C133" s="144" t="s">
        <v>224</v>
      </c>
      <c r="D133" s="37" t="s">
        <v>130</v>
      </c>
      <c r="E133" s="40" t="s">
        <v>146</v>
      </c>
      <c r="F133" s="40" t="s">
        <v>145</v>
      </c>
      <c r="G133" s="40" t="s">
        <v>145</v>
      </c>
    </row>
    <row r="134" spans="1:7" ht="17.25" thickBot="1">
      <c r="A134" s="148"/>
      <c r="B134" s="142"/>
      <c r="C134" s="145"/>
      <c r="D134" s="37" t="s">
        <v>158</v>
      </c>
      <c r="E134" s="40" t="s">
        <v>146</v>
      </c>
      <c r="F134" s="40" t="s">
        <v>145</v>
      </c>
      <c r="G134" s="40" t="s">
        <v>145</v>
      </c>
    </row>
    <row r="135" spans="1:7" ht="33.75" thickBot="1">
      <c r="A135" s="148"/>
      <c r="B135" s="142"/>
      <c r="C135" s="37" t="s">
        <v>225</v>
      </c>
      <c r="D135" s="37" t="s">
        <v>130</v>
      </c>
      <c r="E135" s="40" t="s">
        <v>146</v>
      </c>
      <c r="F135" s="40" t="s">
        <v>145</v>
      </c>
      <c r="G135" s="40" t="s">
        <v>145</v>
      </c>
    </row>
    <row r="136" spans="1:7" ht="17.25" thickBot="1">
      <c r="A136" s="148"/>
      <c r="B136" s="142"/>
      <c r="C136" s="37" t="s">
        <v>133</v>
      </c>
      <c r="D136" s="37" t="s">
        <v>134</v>
      </c>
      <c r="E136" s="40" t="s">
        <v>145</v>
      </c>
      <c r="F136" s="40" t="s">
        <v>146</v>
      </c>
      <c r="G136" s="40" t="s">
        <v>146</v>
      </c>
    </row>
    <row r="137" spans="1:7" ht="33.75" thickBot="1">
      <c r="A137" s="148"/>
      <c r="B137" s="142"/>
      <c r="C137" s="37" t="s">
        <v>226</v>
      </c>
      <c r="D137" s="37" t="s">
        <v>132</v>
      </c>
      <c r="E137" s="40" t="s">
        <v>146</v>
      </c>
      <c r="F137" s="40" t="s">
        <v>145</v>
      </c>
      <c r="G137" s="40" t="s">
        <v>145</v>
      </c>
    </row>
    <row r="138" spans="1:7" ht="17.25" thickBot="1">
      <c r="A138" s="148"/>
      <c r="B138" s="142"/>
      <c r="C138" s="37" t="s">
        <v>227</v>
      </c>
      <c r="D138" s="37" t="s">
        <v>130</v>
      </c>
      <c r="E138" s="40" t="s">
        <v>146</v>
      </c>
      <c r="F138" s="40" t="s">
        <v>145</v>
      </c>
      <c r="G138" s="40" t="s">
        <v>145</v>
      </c>
    </row>
    <row r="139" spans="1:7" ht="33.75" thickBot="1">
      <c r="A139" s="148"/>
      <c r="B139" s="142"/>
      <c r="C139" s="37" t="s">
        <v>228</v>
      </c>
      <c r="D139" s="37" t="s">
        <v>134</v>
      </c>
      <c r="E139" s="40" t="s">
        <v>145</v>
      </c>
      <c r="F139" s="40" t="s">
        <v>146</v>
      </c>
      <c r="G139" s="40" t="s">
        <v>146</v>
      </c>
    </row>
    <row r="140" spans="1:7" ht="17.25" thickBot="1">
      <c r="A140" s="148"/>
      <c r="B140" s="142"/>
      <c r="C140" s="144" t="s">
        <v>126</v>
      </c>
      <c r="D140" s="37" t="s">
        <v>153</v>
      </c>
      <c r="E140" s="40" t="s">
        <v>146</v>
      </c>
      <c r="F140" s="40" t="s">
        <v>146</v>
      </c>
      <c r="G140" s="40" t="s">
        <v>145</v>
      </c>
    </row>
    <row r="141" spans="1:7" ht="17.25" thickBot="1">
      <c r="A141" s="148"/>
      <c r="B141" s="142"/>
      <c r="C141" s="146"/>
      <c r="D141" s="37" t="s">
        <v>127</v>
      </c>
      <c r="E141" s="40" t="s">
        <v>145</v>
      </c>
      <c r="F141" s="40" t="s">
        <v>146</v>
      </c>
      <c r="G141" s="40" t="s">
        <v>146</v>
      </c>
    </row>
    <row r="142" spans="1:7" ht="17.25" thickBot="1">
      <c r="A142" s="148"/>
      <c r="B142" s="143"/>
      <c r="C142" s="145"/>
      <c r="D142" s="37" t="s">
        <v>134</v>
      </c>
      <c r="E142" s="40" t="s">
        <v>145</v>
      </c>
      <c r="F142" s="40" t="s">
        <v>146</v>
      </c>
      <c r="G142" s="40" t="s">
        <v>146</v>
      </c>
    </row>
    <row r="143" spans="1:7" ht="17.25" thickBot="1">
      <c r="A143" s="148"/>
      <c r="B143" s="141" t="s">
        <v>230</v>
      </c>
      <c r="C143" s="37" t="s">
        <v>129</v>
      </c>
      <c r="D143" s="37" t="s">
        <v>130</v>
      </c>
      <c r="E143" s="40" t="s">
        <v>146</v>
      </c>
      <c r="F143" s="40" t="s">
        <v>145</v>
      </c>
      <c r="G143" s="40" t="s">
        <v>145</v>
      </c>
    </row>
    <row r="144" spans="1:7" ht="17.25" thickBot="1">
      <c r="A144" s="148"/>
      <c r="B144" s="142"/>
      <c r="C144" s="37" t="s">
        <v>180</v>
      </c>
      <c r="D144" s="37" t="s">
        <v>218</v>
      </c>
      <c r="E144" s="40" t="s">
        <v>145</v>
      </c>
      <c r="F144" s="40" t="s">
        <v>145</v>
      </c>
      <c r="G144" s="40" t="s">
        <v>146</v>
      </c>
    </row>
    <row r="145" spans="1:7" ht="17.25" thickBot="1">
      <c r="A145" s="148"/>
      <c r="B145" s="142"/>
      <c r="C145" s="144" t="s">
        <v>179</v>
      </c>
      <c r="D145" s="37" t="s">
        <v>165</v>
      </c>
      <c r="E145" s="40" t="s">
        <v>146</v>
      </c>
      <c r="F145" s="40" t="s">
        <v>146</v>
      </c>
      <c r="G145" s="40" t="s">
        <v>146</v>
      </c>
    </row>
    <row r="146" spans="1:7" ht="17.25" thickBot="1">
      <c r="A146" s="148"/>
      <c r="B146" s="142"/>
      <c r="C146" s="146"/>
      <c r="D146" s="37" t="s">
        <v>220</v>
      </c>
      <c r="E146" s="40" t="s">
        <v>145</v>
      </c>
      <c r="F146" s="40" t="s">
        <v>146</v>
      </c>
      <c r="G146" s="40" t="s">
        <v>146</v>
      </c>
    </row>
    <row r="147" spans="1:7" ht="17.25" thickBot="1">
      <c r="A147" s="148"/>
      <c r="B147" s="142"/>
      <c r="C147" s="145"/>
      <c r="D147" s="37" t="s">
        <v>134</v>
      </c>
      <c r="E147" s="40" t="s">
        <v>145</v>
      </c>
      <c r="F147" s="40" t="s">
        <v>146</v>
      </c>
      <c r="G147" s="40" t="s">
        <v>146</v>
      </c>
    </row>
    <row r="148" spans="1:7" ht="33.75" thickBot="1">
      <c r="A148" s="148"/>
      <c r="B148" s="142"/>
      <c r="C148" s="37" t="s">
        <v>223</v>
      </c>
      <c r="D148" s="37" t="s">
        <v>231</v>
      </c>
      <c r="E148" s="40" t="s">
        <v>146</v>
      </c>
      <c r="F148" s="40" t="s">
        <v>145</v>
      </c>
      <c r="G148" s="40" t="s">
        <v>145</v>
      </c>
    </row>
    <row r="149" spans="1:7" ht="33.75" thickBot="1">
      <c r="A149" s="148"/>
      <c r="B149" s="142"/>
      <c r="C149" s="37" t="s">
        <v>225</v>
      </c>
      <c r="D149" s="37" t="s">
        <v>232</v>
      </c>
      <c r="E149" s="40" t="s">
        <v>146</v>
      </c>
      <c r="F149" s="40" t="s">
        <v>145</v>
      </c>
      <c r="G149" s="40" t="s">
        <v>145</v>
      </c>
    </row>
    <row r="150" spans="1:7" ht="17.25" thickBot="1">
      <c r="A150" s="148"/>
      <c r="B150" s="142"/>
      <c r="C150" s="37" t="s">
        <v>133</v>
      </c>
      <c r="D150" s="37" t="s">
        <v>134</v>
      </c>
      <c r="E150" s="40" t="s">
        <v>145</v>
      </c>
      <c r="F150" s="40" t="s">
        <v>146</v>
      </c>
      <c r="G150" s="40" t="s">
        <v>146</v>
      </c>
    </row>
    <row r="151" spans="1:7" ht="17.25" thickBot="1">
      <c r="A151" s="148"/>
      <c r="B151" s="142"/>
      <c r="C151" s="144" t="s">
        <v>226</v>
      </c>
      <c r="D151" s="37" t="s">
        <v>130</v>
      </c>
      <c r="E151" s="40" t="s">
        <v>146</v>
      </c>
      <c r="F151" s="40" t="s">
        <v>145</v>
      </c>
      <c r="G151" s="40" t="s">
        <v>145</v>
      </c>
    </row>
    <row r="152" spans="1:7" ht="17.25" thickBot="1">
      <c r="A152" s="148"/>
      <c r="B152" s="142"/>
      <c r="C152" s="145"/>
      <c r="D152" s="37" t="s">
        <v>132</v>
      </c>
      <c r="E152" s="40" t="s">
        <v>146</v>
      </c>
      <c r="F152" s="40" t="s">
        <v>145</v>
      </c>
      <c r="G152" s="40" t="s">
        <v>145</v>
      </c>
    </row>
    <row r="153" spans="1:7" ht="17.25" thickBot="1">
      <c r="A153" s="148"/>
      <c r="B153" s="142"/>
      <c r="C153" s="37" t="s">
        <v>227</v>
      </c>
      <c r="D153" s="37" t="s">
        <v>130</v>
      </c>
      <c r="E153" s="40" t="s">
        <v>146</v>
      </c>
      <c r="F153" s="40" t="s">
        <v>145</v>
      </c>
      <c r="G153" s="40" t="s">
        <v>145</v>
      </c>
    </row>
    <row r="154" spans="1:7" ht="17.25" thickBot="1">
      <c r="A154" s="148"/>
      <c r="B154" s="142"/>
      <c r="C154" s="144" t="s">
        <v>126</v>
      </c>
      <c r="D154" s="37" t="s">
        <v>153</v>
      </c>
      <c r="E154" s="40" t="s">
        <v>146</v>
      </c>
      <c r="F154" s="40" t="s">
        <v>146</v>
      </c>
      <c r="G154" s="40" t="s">
        <v>145</v>
      </c>
    </row>
    <row r="155" spans="1:7" ht="17.25" thickBot="1">
      <c r="A155" s="148"/>
      <c r="B155" s="142"/>
      <c r="C155" s="146"/>
      <c r="D155" s="37" t="s">
        <v>218</v>
      </c>
      <c r="E155" s="40" t="s">
        <v>146</v>
      </c>
      <c r="F155" s="40" t="s">
        <v>146</v>
      </c>
      <c r="G155" s="40" t="s">
        <v>145</v>
      </c>
    </row>
    <row r="156" spans="1:7" ht="17.25" thickBot="1">
      <c r="A156" s="148"/>
      <c r="B156" s="143"/>
      <c r="C156" s="145"/>
      <c r="D156" s="37" t="s">
        <v>134</v>
      </c>
      <c r="E156" s="40" t="s">
        <v>145</v>
      </c>
      <c r="F156" s="40" t="s">
        <v>146</v>
      </c>
      <c r="G156" s="40" t="s">
        <v>146</v>
      </c>
    </row>
    <row r="157" spans="1:7" ht="17.25" thickBot="1">
      <c r="A157" s="148"/>
      <c r="B157" s="141" t="s">
        <v>233</v>
      </c>
      <c r="C157" s="37" t="s">
        <v>234</v>
      </c>
      <c r="D157" s="37" t="s">
        <v>235</v>
      </c>
      <c r="E157" s="40" t="s">
        <v>146</v>
      </c>
      <c r="F157" s="40" t="s">
        <v>146</v>
      </c>
      <c r="G157" s="40" t="s">
        <v>146</v>
      </c>
    </row>
    <row r="158" spans="1:7" ht="17.25" thickBot="1">
      <c r="A158" s="148"/>
      <c r="B158" s="142"/>
      <c r="C158" s="144" t="s">
        <v>219</v>
      </c>
      <c r="D158" s="37" t="s">
        <v>165</v>
      </c>
      <c r="E158" s="40" t="s">
        <v>145</v>
      </c>
      <c r="F158" s="40" t="s">
        <v>146</v>
      </c>
      <c r="G158" s="40" t="s">
        <v>146</v>
      </c>
    </row>
    <row r="159" spans="1:7" ht="17.25" thickBot="1">
      <c r="A159" s="148"/>
      <c r="B159" s="142"/>
      <c r="C159" s="145"/>
      <c r="D159" s="37" t="s">
        <v>220</v>
      </c>
      <c r="E159" s="40" t="s">
        <v>145</v>
      </c>
      <c r="F159" s="40" t="s">
        <v>145</v>
      </c>
      <c r="G159" s="40" t="s">
        <v>146</v>
      </c>
    </row>
    <row r="160" spans="1:7" ht="17.25" thickBot="1">
      <c r="A160" s="148"/>
      <c r="B160" s="142"/>
      <c r="C160" s="144" t="s">
        <v>221</v>
      </c>
      <c r="D160" s="37" t="s">
        <v>165</v>
      </c>
      <c r="E160" s="40" t="s">
        <v>145</v>
      </c>
      <c r="F160" s="40" t="s">
        <v>146</v>
      </c>
      <c r="G160" s="40" t="s">
        <v>146</v>
      </c>
    </row>
    <row r="161" spans="1:7" ht="17.25" thickBot="1">
      <c r="A161" s="148"/>
      <c r="B161" s="142"/>
      <c r="C161" s="145"/>
      <c r="D161" s="37" t="s">
        <v>220</v>
      </c>
      <c r="E161" s="40" t="s">
        <v>145</v>
      </c>
      <c r="F161" s="40" t="s">
        <v>146</v>
      </c>
      <c r="G161" s="40" t="s">
        <v>146</v>
      </c>
    </row>
    <row r="162" spans="1:7" ht="17.25" thickBot="1">
      <c r="A162" s="148"/>
      <c r="B162" s="142"/>
      <c r="C162" s="144" t="s">
        <v>191</v>
      </c>
      <c r="D162" s="37" t="s">
        <v>193</v>
      </c>
      <c r="E162" s="40" t="s">
        <v>145</v>
      </c>
      <c r="F162" s="40" t="s">
        <v>145</v>
      </c>
      <c r="G162" s="40" t="s">
        <v>146</v>
      </c>
    </row>
    <row r="163" spans="1:7" ht="17.25" thickBot="1">
      <c r="A163" s="148"/>
      <c r="B163" s="142"/>
      <c r="C163" s="146"/>
      <c r="D163" s="37" t="s">
        <v>222</v>
      </c>
      <c r="E163" s="40" t="s">
        <v>145</v>
      </c>
      <c r="F163" s="40" t="s">
        <v>145</v>
      </c>
      <c r="G163" s="40" t="s">
        <v>146</v>
      </c>
    </row>
    <row r="164" spans="1:7" ht="17.25" thickBot="1">
      <c r="A164" s="148"/>
      <c r="B164" s="142"/>
      <c r="C164" s="146"/>
      <c r="D164" s="37" t="s">
        <v>194</v>
      </c>
      <c r="E164" s="40" t="s">
        <v>145</v>
      </c>
      <c r="F164" s="40" t="s">
        <v>145</v>
      </c>
      <c r="G164" s="40" t="s">
        <v>146</v>
      </c>
    </row>
    <row r="165" spans="1:7" ht="17.25" thickBot="1">
      <c r="A165" s="148"/>
      <c r="B165" s="142"/>
      <c r="C165" s="145"/>
      <c r="D165" s="37" t="s">
        <v>134</v>
      </c>
      <c r="E165" s="40" t="s">
        <v>145</v>
      </c>
      <c r="F165" s="40" t="s">
        <v>146</v>
      </c>
      <c r="G165" s="40" t="s">
        <v>146</v>
      </c>
    </row>
    <row r="166" spans="1:7" ht="17.25" thickBot="1">
      <c r="A166" s="148"/>
      <c r="B166" s="142"/>
      <c r="C166" s="37" t="s">
        <v>236</v>
      </c>
      <c r="D166" s="37" t="s">
        <v>232</v>
      </c>
      <c r="E166" s="40" t="s">
        <v>146</v>
      </c>
      <c r="F166" s="40" t="s">
        <v>145</v>
      </c>
      <c r="G166" s="40" t="s">
        <v>145</v>
      </c>
    </row>
    <row r="167" spans="1:7" ht="17.25" thickBot="1">
      <c r="A167" s="148"/>
      <c r="B167" s="142"/>
      <c r="C167" s="144" t="s">
        <v>179</v>
      </c>
      <c r="D167" s="37" t="s">
        <v>220</v>
      </c>
      <c r="E167" s="40" t="s">
        <v>145</v>
      </c>
      <c r="F167" s="40" t="s">
        <v>146</v>
      </c>
      <c r="G167" s="40" t="s">
        <v>146</v>
      </c>
    </row>
    <row r="168" spans="1:7" ht="17.25" thickBot="1">
      <c r="A168" s="148"/>
      <c r="B168" s="142"/>
      <c r="C168" s="146"/>
      <c r="D168" s="37" t="s">
        <v>165</v>
      </c>
      <c r="E168" s="40" t="s">
        <v>145</v>
      </c>
      <c r="F168" s="40" t="s">
        <v>146</v>
      </c>
      <c r="G168" s="40" t="s">
        <v>146</v>
      </c>
    </row>
    <row r="169" spans="1:7" ht="17.25" thickBot="1">
      <c r="A169" s="148"/>
      <c r="B169" s="142"/>
      <c r="C169" s="145"/>
      <c r="D169" s="37" t="s">
        <v>134</v>
      </c>
      <c r="E169" s="40" t="s">
        <v>145</v>
      </c>
      <c r="F169" s="40" t="s">
        <v>146</v>
      </c>
      <c r="G169" s="40" t="s">
        <v>146</v>
      </c>
    </row>
    <row r="170" spans="1:7" ht="33.75" thickBot="1">
      <c r="A170" s="148"/>
      <c r="B170" s="142"/>
      <c r="C170" s="37" t="s">
        <v>237</v>
      </c>
      <c r="D170" s="37" t="s">
        <v>132</v>
      </c>
      <c r="E170" s="40" t="s">
        <v>146</v>
      </c>
      <c r="F170" s="40" t="s">
        <v>145</v>
      </c>
      <c r="G170" s="40" t="s">
        <v>145</v>
      </c>
    </row>
    <row r="171" spans="1:7" ht="17.25" thickBot="1">
      <c r="A171" s="148"/>
      <c r="B171" s="142"/>
      <c r="C171" s="144" t="s">
        <v>224</v>
      </c>
      <c r="D171" s="37" t="s">
        <v>130</v>
      </c>
      <c r="E171" s="40" t="s">
        <v>146</v>
      </c>
      <c r="F171" s="40" t="s">
        <v>145</v>
      </c>
      <c r="G171" s="40" t="s">
        <v>145</v>
      </c>
    </row>
    <row r="172" spans="1:7" ht="17.25" thickBot="1">
      <c r="A172" s="148"/>
      <c r="B172" s="142"/>
      <c r="C172" s="145"/>
      <c r="D172" s="37" t="s">
        <v>158</v>
      </c>
      <c r="E172" s="40" t="s">
        <v>146</v>
      </c>
      <c r="F172" s="40" t="s">
        <v>145</v>
      </c>
      <c r="G172" s="40" t="s">
        <v>145</v>
      </c>
    </row>
    <row r="173" spans="1:7" ht="33.75" thickBot="1">
      <c r="A173" s="148"/>
      <c r="B173" s="142"/>
      <c r="C173" s="37" t="s">
        <v>225</v>
      </c>
      <c r="D173" s="37" t="s">
        <v>130</v>
      </c>
      <c r="E173" s="40" t="s">
        <v>146</v>
      </c>
      <c r="F173" s="40" t="s">
        <v>145</v>
      </c>
      <c r="G173" s="40" t="s">
        <v>145</v>
      </c>
    </row>
    <row r="174" spans="1:7" ht="17.25" thickBot="1">
      <c r="A174" s="148"/>
      <c r="B174" s="142"/>
      <c r="C174" s="37" t="s">
        <v>238</v>
      </c>
      <c r="D174" s="37" t="s">
        <v>239</v>
      </c>
      <c r="E174" s="40" t="s">
        <v>145</v>
      </c>
      <c r="F174" s="40" t="s">
        <v>146</v>
      </c>
      <c r="G174" s="40" t="s">
        <v>146</v>
      </c>
    </row>
    <row r="175" spans="1:7" ht="33.75" thickBot="1">
      <c r="A175" s="148"/>
      <c r="B175" s="142"/>
      <c r="C175" s="37" t="s">
        <v>226</v>
      </c>
      <c r="D175" s="37" t="s">
        <v>132</v>
      </c>
      <c r="E175" s="40" t="s">
        <v>146</v>
      </c>
      <c r="F175" s="40" t="s">
        <v>145</v>
      </c>
      <c r="G175" s="40" t="s">
        <v>145</v>
      </c>
    </row>
    <row r="176" spans="1:7" ht="17.25" thickBot="1">
      <c r="A176" s="148"/>
      <c r="B176" s="142"/>
      <c r="C176" s="37" t="s">
        <v>227</v>
      </c>
      <c r="D176" s="37" t="s">
        <v>130</v>
      </c>
      <c r="E176" s="40" t="s">
        <v>146</v>
      </c>
      <c r="F176" s="40" t="s">
        <v>145</v>
      </c>
      <c r="G176" s="40" t="s">
        <v>145</v>
      </c>
    </row>
    <row r="177" spans="1:7" ht="33.75" thickBot="1">
      <c r="A177" s="148"/>
      <c r="B177" s="142"/>
      <c r="C177" s="37" t="s">
        <v>240</v>
      </c>
      <c r="D177" s="37" t="s">
        <v>134</v>
      </c>
      <c r="E177" s="40" t="s">
        <v>145</v>
      </c>
      <c r="F177" s="40" t="s">
        <v>146</v>
      </c>
      <c r="G177" s="40" t="s">
        <v>146</v>
      </c>
    </row>
    <row r="178" spans="1:7" ht="17.25" thickBot="1">
      <c r="A178" s="148"/>
      <c r="B178" s="142"/>
      <c r="C178" s="144" t="s">
        <v>126</v>
      </c>
      <c r="D178" s="37" t="s">
        <v>153</v>
      </c>
      <c r="E178" s="40" t="s">
        <v>146</v>
      </c>
      <c r="F178" s="40" t="s">
        <v>146</v>
      </c>
      <c r="G178" s="40" t="s">
        <v>145</v>
      </c>
    </row>
    <row r="179" spans="1:7" ht="17.25" thickBot="1">
      <c r="A179" s="148"/>
      <c r="B179" s="142"/>
      <c r="C179" s="146"/>
      <c r="D179" s="37" t="s">
        <v>127</v>
      </c>
      <c r="E179" s="40" t="s">
        <v>145</v>
      </c>
      <c r="F179" s="40" t="s">
        <v>146</v>
      </c>
      <c r="G179" s="40" t="s">
        <v>146</v>
      </c>
    </row>
    <row r="180" spans="1:7" ht="17.25" thickBot="1">
      <c r="A180" s="149"/>
      <c r="B180" s="143"/>
      <c r="C180" s="145"/>
      <c r="D180" s="37" t="s">
        <v>134</v>
      </c>
      <c r="E180" s="40" t="s">
        <v>145</v>
      </c>
      <c r="F180" s="40" t="s">
        <v>146</v>
      </c>
      <c r="G180" s="40" t="s">
        <v>146</v>
      </c>
    </row>
    <row r="181" spans="1:7" ht="17.25" thickBot="1"/>
    <row r="182" spans="1:7" ht="17.25" thickBot="1">
      <c r="A182" s="34" t="s">
        <v>135</v>
      </c>
      <c r="B182" s="35" t="s">
        <v>136</v>
      </c>
      <c r="C182" s="35" t="s">
        <v>137</v>
      </c>
      <c r="D182" s="35" t="s">
        <v>120</v>
      </c>
      <c r="E182" s="36" t="s">
        <v>138</v>
      </c>
      <c r="F182" s="36" t="s">
        <v>139</v>
      </c>
      <c r="G182" s="36" t="s">
        <v>140</v>
      </c>
    </row>
    <row r="183" spans="1:7" ht="17.25" thickBot="1">
      <c r="A183" s="147" t="s">
        <v>241</v>
      </c>
      <c r="B183" s="141" t="s">
        <v>242</v>
      </c>
      <c r="C183" s="144" t="s">
        <v>185</v>
      </c>
      <c r="D183" s="37" t="s">
        <v>197</v>
      </c>
      <c r="E183" s="38" t="s">
        <v>146</v>
      </c>
      <c r="F183" s="38" t="s">
        <v>145</v>
      </c>
      <c r="G183" s="38" t="s">
        <v>146</v>
      </c>
    </row>
    <row r="184" spans="1:7" ht="17.25" thickBot="1">
      <c r="A184" s="148"/>
      <c r="B184" s="142"/>
      <c r="C184" s="145"/>
      <c r="D184" s="37" t="s">
        <v>209</v>
      </c>
      <c r="E184" s="38" t="s">
        <v>145</v>
      </c>
      <c r="F184" s="38" t="s">
        <v>146</v>
      </c>
      <c r="G184" s="38" t="s">
        <v>146</v>
      </c>
    </row>
    <row r="185" spans="1:7" ht="17.25" thickBot="1">
      <c r="A185" s="148"/>
      <c r="B185" s="142"/>
      <c r="C185" s="144" t="s">
        <v>243</v>
      </c>
      <c r="D185" s="37" t="s">
        <v>158</v>
      </c>
      <c r="E185" s="38" t="s">
        <v>146</v>
      </c>
      <c r="F185" s="38" t="s">
        <v>145</v>
      </c>
      <c r="G185" s="38" t="s">
        <v>146</v>
      </c>
    </row>
    <row r="186" spans="1:7" ht="17.25" thickBot="1">
      <c r="A186" s="148"/>
      <c r="B186" s="142"/>
      <c r="C186" s="146"/>
      <c r="D186" s="37" t="s">
        <v>160</v>
      </c>
      <c r="E186" s="38" t="s">
        <v>146</v>
      </c>
      <c r="F186" s="38" t="s">
        <v>145</v>
      </c>
      <c r="G186" s="38" t="s">
        <v>146</v>
      </c>
    </row>
    <row r="187" spans="1:7" ht="17.25" thickBot="1">
      <c r="A187" s="148"/>
      <c r="B187" s="142"/>
      <c r="C187" s="146"/>
      <c r="D187" s="37" t="s">
        <v>203</v>
      </c>
      <c r="E187" s="38" t="s">
        <v>145</v>
      </c>
      <c r="F187" s="38" t="s">
        <v>146</v>
      </c>
      <c r="G187" s="38" t="s">
        <v>146</v>
      </c>
    </row>
    <row r="188" spans="1:7" ht="17.25" thickBot="1">
      <c r="A188" s="148"/>
      <c r="B188" s="142"/>
      <c r="C188" s="145"/>
      <c r="D188" s="37" t="s">
        <v>209</v>
      </c>
      <c r="E188" s="38" t="s">
        <v>145</v>
      </c>
      <c r="F188" s="38" t="s">
        <v>146</v>
      </c>
      <c r="G188" s="38" t="s">
        <v>146</v>
      </c>
    </row>
    <row r="189" spans="1:7" ht="17.25" thickBot="1">
      <c r="A189" s="148"/>
      <c r="B189" s="142"/>
      <c r="C189" s="144" t="s">
        <v>244</v>
      </c>
      <c r="D189" s="37" t="s">
        <v>172</v>
      </c>
      <c r="E189" s="38" t="s">
        <v>146</v>
      </c>
      <c r="F189" s="38" t="s">
        <v>145</v>
      </c>
      <c r="G189" s="38" t="s">
        <v>146</v>
      </c>
    </row>
    <row r="190" spans="1:7" ht="17.25" thickBot="1">
      <c r="A190" s="148"/>
      <c r="B190" s="142"/>
      <c r="C190" s="145"/>
      <c r="D190" s="37" t="s">
        <v>197</v>
      </c>
      <c r="E190" s="38" t="s">
        <v>146</v>
      </c>
      <c r="F190" s="38" t="s">
        <v>145</v>
      </c>
      <c r="G190" s="38" t="s">
        <v>146</v>
      </c>
    </row>
    <row r="191" spans="1:7" ht="17.25" thickBot="1">
      <c r="A191" s="148"/>
      <c r="B191" s="142"/>
      <c r="C191" s="144" t="s">
        <v>245</v>
      </c>
      <c r="D191" s="37" t="s">
        <v>172</v>
      </c>
      <c r="E191" s="38" t="s">
        <v>146</v>
      </c>
      <c r="F191" s="38" t="s">
        <v>145</v>
      </c>
      <c r="G191" s="38" t="s">
        <v>146</v>
      </c>
    </row>
    <row r="192" spans="1:7" ht="17.25" thickBot="1">
      <c r="A192" s="148"/>
      <c r="B192" s="142"/>
      <c r="C192" s="146"/>
      <c r="D192" s="37" t="s">
        <v>158</v>
      </c>
      <c r="E192" s="38" t="s">
        <v>146</v>
      </c>
      <c r="F192" s="38" t="s">
        <v>145</v>
      </c>
      <c r="G192" s="38" t="s">
        <v>146</v>
      </c>
    </row>
    <row r="193" spans="1:7" ht="17.25" thickBot="1">
      <c r="A193" s="148"/>
      <c r="B193" s="142"/>
      <c r="C193" s="146"/>
      <c r="D193" s="37" t="s">
        <v>160</v>
      </c>
      <c r="E193" s="38" t="s">
        <v>146</v>
      </c>
      <c r="F193" s="38" t="s">
        <v>145</v>
      </c>
      <c r="G193" s="38" t="s">
        <v>146</v>
      </c>
    </row>
    <row r="194" spans="1:7" ht="17.25" thickBot="1">
      <c r="A194" s="148"/>
      <c r="B194" s="142"/>
      <c r="C194" s="145"/>
      <c r="D194" s="37" t="s">
        <v>197</v>
      </c>
      <c r="E194" s="38" t="s">
        <v>146</v>
      </c>
      <c r="F194" s="38" t="s">
        <v>145</v>
      </c>
      <c r="G194" s="38" t="s">
        <v>146</v>
      </c>
    </row>
    <row r="195" spans="1:7" ht="17.25" thickBot="1">
      <c r="A195" s="148"/>
      <c r="B195" s="142"/>
      <c r="C195" s="144" t="s">
        <v>210</v>
      </c>
      <c r="D195" s="37" t="s">
        <v>172</v>
      </c>
      <c r="E195" s="38" t="s">
        <v>146</v>
      </c>
      <c r="F195" s="38" t="s">
        <v>145</v>
      </c>
      <c r="G195" s="38" t="s">
        <v>146</v>
      </c>
    </row>
    <row r="196" spans="1:7" ht="17.25" thickBot="1">
      <c r="A196" s="148"/>
      <c r="B196" s="142"/>
      <c r="C196" s="146"/>
      <c r="D196" s="37" t="s">
        <v>158</v>
      </c>
      <c r="E196" s="38" t="s">
        <v>146</v>
      </c>
      <c r="F196" s="38" t="s">
        <v>145</v>
      </c>
      <c r="G196" s="38" t="s">
        <v>146</v>
      </c>
    </row>
    <row r="197" spans="1:7" ht="17.25" thickBot="1">
      <c r="A197" s="148"/>
      <c r="B197" s="142"/>
      <c r="C197" s="146"/>
      <c r="D197" s="37" t="s">
        <v>203</v>
      </c>
      <c r="E197" s="38" t="s">
        <v>145</v>
      </c>
      <c r="F197" s="38" t="s">
        <v>146</v>
      </c>
      <c r="G197" s="38" t="s">
        <v>146</v>
      </c>
    </row>
    <row r="198" spans="1:7" ht="17.25" thickBot="1">
      <c r="A198" s="148"/>
      <c r="B198" s="142"/>
      <c r="C198" s="146"/>
      <c r="D198" s="37" t="s">
        <v>197</v>
      </c>
      <c r="E198" s="38" t="s">
        <v>146</v>
      </c>
      <c r="F198" s="38" t="s">
        <v>145</v>
      </c>
      <c r="G198" s="38" t="s">
        <v>146</v>
      </c>
    </row>
    <row r="199" spans="1:7" ht="17.25" thickBot="1">
      <c r="A199" s="148"/>
      <c r="B199" s="142"/>
      <c r="C199" s="145"/>
      <c r="D199" s="37" t="s">
        <v>209</v>
      </c>
      <c r="E199" s="38" t="s">
        <v>145</v>
      </c>
      <c r="F199" s="38" t="s">
        <v>146</v>
      </c>
      <c r="G199" s="38" t="s">
        <v>146</v>
      </c>
    </row>
    <row r="200" spans="1:7" ht="17.25" thickBot="1">
      <c r="A200" s="148"/>
      <c r="B200" s="142"/>
      <c r="C200" s="144" t="s">
        <v>129</v>
      </c>
      <c r="D200" s="37" t="s">
        <v>172</v>
      </c>
      <c r="E200" s="38" t="s">
        <v>146</v>
      </c>
      <c r="F200" s="38" t="s">
        <v>145</v>
      </c>
      <c r="G200" s="38" t="s">
        <v>146</v>
      </c>
    </row>
    <row r="201" spans="1:7" ht="17.25" thickBot="1">
      <c r="A201" s="148"/>
      <c r="B201" s="142"/>
      <c r="C201" s="145"/>
      <c r="D201" s="37" t="s">
        <v>197</v>
      </c>
      <c r="E201" s="38" t="s">
        <v>146</v>
      </c>
      <c r="F201" s="38" t="s">
        <v>145</v>
      </c>
      <c r="G201" s="38" t="s">
        <v>146</v>
      </c>
    </row>
    <row r="202" spans="1:7" ht="17.25" thickBot="1">
      <c r="A202" s="148"/>
      <c r="B202" s="142"/>
      <c r="C202" s="144" t="s">
        <v>246</v>
      </c>
      <c r="D202" s="37" t="s">
        <v>194</v>
      </c>
      <c r="E202" s="38" t="s">
        <v>145</v>
      </c>
      <c r="F202" s="38" t="s">
        <v>145</v>
      </c>
      <c r="G202" s="38" t="s">
        <v>146</v>
      </c>
    </row>
    <row r="203" spans="1:7" ht="17.25" thickBot="1">
      <c r="A203" s="148"/>
      <c r="B203" s="142"/>
      <c r="C203" s="146"/>
      <c r="D203" s="37" t="s">
        <v>247</v>
      </c>
      <c r="E203" s="38" t="s">
        <v>145</v>
      </c>
      <c r="F203" s="38" t="s">
        <v>145</v>
      </c>
      <c r="G203" s="38" t="s">
        <v>146</v>
      </c>
    </row>
    <row r="204" spans="1:7" ht="17.25" thickBot="1">
      <c r="A204" s="148"/>
      <c r="B204" s="142"/>
      <c r="C204" s="146"/>
      <c r="D204" s="37" t="s">
        <v>248</v>
      </c>
      <c r="E204" s="38" t="s">
        <v>145</v>
      </c>
      <c r="F204" s="38" t="s">
        <v>145</v>
      </c>
      <c r="G204" s="38" t="s">
        <v>146</v>
      </c>
    </row>
    <row r="205" spans="1:7" ht="17.25" thickBot="1">
      <c r="A205" s="148"/>
      <c r="B205" s="142"/>
      <c r="C205" s="145"/>
      <c r="D205" s="37" t="s">
        <v>209</v>
      </c>
      <c r="E205" s="38" t="s">
        <v>145</v>
      </c>
      <c r="F205" s="38" t="s">
        <v>146</v>
      </c>
      <c r="G205" s="38" t="s">
        <v>146</v>
      </c>
    </row>
    <row r="206" spans="1:7" ht="17.25" thickBot="1">
      <c r="A206" s="148"/>
      <c r="B206" s="142"/>
      <c r="C206" s="144" t="s">
        <v>214</v>
      </c>
      <c r="D206" s="37" t="s">
        <v>194</v>
      </c>
      <c r="E206" s="38" t="s">
        <v>145</v>
      </c>
      <c r="F206" s="38" t="s">
        <v>145</v>
      </c>
      <c r="G206" s="38" t="s">
        <v>146</v>
      </c>
    </row>
    <row r="207" spans="1:7" ht="17.25" thickBot="1">
      <c r="A207" s="148"/>
      <c r="B207" s="142"/>
      <c r="C207" s="146"/>
      <c r="D207" s="37" t="s">
        <v>215</v>
      </c>
      <c r="E207" s="38" t="s">
        <v>145</v>
      </c>
      <c r="F207" s="38" t="s">
        <v>145</v>
      </c>
      <c r="G207" s="38" t="s">
        <v>146</v>
      </c>
    </row>
    <row r="208" spans="1:7" ht="17.25" thickBot="1">
      <c r="A208" s="148"/>
      <c r="B208" s="142"/>
      <c r="C208" s="145"/>
      <c r="D208" s="37" t="s">
        <v>209</v>
      </c>
      <c r="E208" s="38" t="s">
        <v>145</v>
      </c>
      <c r="F208" s="38" t="s">
        <v>146</v>
      </c>
      <c r="G208" s="38" t="s">
        <v>146</v>
      </c>
    </row>
    <row r="209" spans="1:7" ht="17.25" thickBot="1">
      <c r="A209" s="148"/>
      <c r="B209" s="142"/>
      <c r="C209" s="144" t="s">
        <v>249</v>
      </c>
      <c r="D209" s="37" t="s">
        <v>250</v>
      </c>
      <c r="E209" s="38" t="s">
        <v>145</v>
      </c>
      <c r="F209" s="38" t="s">
        <v>145</v>
      </c>
      <c r="G209" s="38" t="s">
        <v>146</v>
      </c>
    </row>
    <row r="210" spans="1:7" ht="17.25" thickBot="1">
      <c r="A210" s="148"/>
      <c r="B210" s="142"/>
      <c r="C210" s="146"/>
      <c r="D210" s="37" t="s">
        <v>193</v>
      </c>
      <c r="E210" s="38" t="s">
        <v>145</v>
      </c>
      <c r="F210" s="38" t="s">
        <v>145</v>
      </c>
      <c r="G210" s="38" t="s">
        <v>146</v>
      </c>
    </row>
    <row r="211" spans="1:7" ht="17.25" thickBot="1">
      <c r="A211" s="148"/>
      <c r="B211" s="142"/>
      <c r="C211" s="146"/>
      <c r="D211" s="37" t="s">
        <v>194</v>
      </c>
      <c r="E211" s="38" t="s">
        <v>145</v>
      </c>
      <c r="F211" s="38" t="s">
        <v>145</v>
      </c>
      <c r="G211" s="38" t="s">
        <v>146</v>
      </c>
    </row>
    <row r="212" spans="1:7" ht="17.25" thickBot="1">
      <c r="A212" s="148"/>
      <c r="B212" s="143"/>
      <c r="C212" s="145"/>
      <c r="D212" s="37" t="s">
        <v>209</v>
      </c>
      <c r="E212" s="38" t="s">
        <v>145</v>
      </c>
      <c r="F212" s="38" t="s">
        <v>146</v>
      </c>
      <c r="G212" s="38" t="s">
        <v>146</v>
      </c>
    </row>
    <row r="213" spans="1:7" ht="17.25" thickBot="1">
      <c r="A213" s="148"/>
      <c r="B213" s="141" t="s">
        <v>251</v>
      </c>
      <c r="C213" s="144" t="s">
        <v>252</v>
      </c>
      <c r="D213" s="37" t="s">
        <v>194</v>
      </c>
      <c r="E213" s="38" t="s">
        <v>146</v>
      </c>
      <c r="F213" s="38" t="s">
        <v>145</v>
      </c>
      <c r="G213" s="38" t="s">
        <v>146</v>
      </c>
    </row>
    <row r="214" spans="1:7" ht="17.25" thickBot="1">
      <c r="A214" s="148"/>
      <c r="B214" s="142"/>
      <c r="C214" s="145"/>
      <c r="D214" s="37" t="s">
        <v>208</v>
      </c>
      <c r="E214" s="38" t="s">
        <v>145</v>
      </c>
      <c r="F214" s="38" t="s">
        <v>145</v>
      </c>
      <c r="G214" s="38" t="s">
        <v>146</v>
      </c>
    </row>
    <row r="215" spans="1:7" ht="17.25" thickBot="1">
      <c r="A215" s="148"/>
      <c r="B215" s="142"/>
      <c r="C215" s="144" t="s">
        <v>185</v>
      </c>
      <c r="D215" s="37" t="s">
        <v>194</v>
      </c>
      <c r="E215" s="38" t="s">
        <v>145</v>
      </c>
      <c r="F215" s="38" t="s">
        <v>145</v>
      </c>
      <c r="G215" s="38" t="s">
        <v>146</v>
      </c>
    </row>
    <row r="216" spans="1:7" ht="17.25" thickBot="1">
      <c r="A216" s="148"/>
      <c r="B216" s="142"/>
      <c r="C216" s="145"/>
      <c r="D216" s="37" t="s">
        <v>197</v>
      </c>
      <c r="E216" s="38" t="s">
        <v>146</v>
      </c>
      <c r="F216" s="38" t="s">
        <v>145</v>
      </c>
      <c r="G216" s="38" t="s">
        <v>146</v>
      </c>
    </row>
    <row r="217" spans="1:7" ht="17.25" thickBot="1">
      <c r="A217" s="148"/>
      <c r="B217" s="142"/>
      <c r="C217" s="37" t="s">
        <v>191</v>
      </c>
      <c r="D217" s="37" t="s">
        <v>194</v>
      </c>
      <c r="E217" s="38" t="s">
        <v>145</v>
      </c>
      <c r="F217" s="38" t="s">
        <v>145</v>
      </c>
      <c r="G217" s="38" t="s">
        <v>146</v>
      </c>
    </row>
    <row r="218" spans="1:7" ht="17.25" thickBot="1">
      <c r="A218" s="148"/>
      <c r="B218" s="142"/>
      <c r="C218" s="144" t="s">
        <v>253</v>
      </c>
      <c r="D218" s="37" t="s">
        <v>254</v>
      </c>
      <c r="E218" s="38" t="s">
        <v>146</v>
      </c>
      <c r="F218" s="38" t="s">
        <v>145</v>
      </c>
      <c r="G218" s="38" t="s">
        <v>146</v>
      </c>
    </row>
    <row r="219" spans="1:7" ht="17.25" thickBot="1">
      <c r="A219" s="148"/>
      <c r="B219" s="142"/>
      <c r="C219" s="146"/>
      <c r="D219" s="37" t="s">
        <v>255</v>
      </c>
      <c r="E219" s="38" t="s">
        <v>146</v>
      </c>
      <c r="F219" s="38" t="s">
        <v>145</v>
      </c>
      <c r="G219" s="38" t="s">
        <v>146</v>
      </c>
    </row>
    <row r="220" spans="1:7" ht="17.25" thickBot="1">
      <c r="A220" s="148"/>
      <c r="B220" s="142"/>
      <c r="C220" s="146"/>
      <c r="D220" s="37" t="s">
        <v>256</v>
      </c>
      <c r="E220" s="38" t="s">
        <v>146</v>
      </c>
      <c r="F220" s="38" t="s">
        <v>145</v>
      </c>
      <c r="G220" s="38" t="s">
        <v>146</v>
      </c>
    </row>
    <row r="221" spans="1:7" ht="17.25" thickBot="1">
      <c r="A221" s="148"/>
      <c r="B221" s="142"/>
      <c r="C221" s="145"/>
      <c r="D221" s="37" t="s">
        <v>197</v>
      </c>
      <c r="E221" s="38" t="s">
        <v>146</v>
      </c>
      <c r="F221" s="38" t="s">
        <v>145</v>
      </c>
      <c r="G221" s="38" t="s">
        <v>146</v>
      </c>
    </row>
    <row r="222" spans="1:7" ht="17.25" thickBot="1">
      <c r="A222" s="148"/>
      <c r="B222" s="142"/>
      <c r="C222" s="144" t="s">
        <v>244</v>
      </c>
      <c r="D222" s="37" t="s">
        <v>158</v>
      </c>
      <c r="E222" s="38" t="s">
        <v>146</v>
      </c>
      <c r="F222" s="38" t="s">
        <v>145</v>
      </c>
      <c r="G222" s="38" t="s">
        <v>146</v>
      </c>
    </row>
    <row r="223" spans="1:7" ht="17.25" thickBot="1">
      <c r="A223" s="148"/>
      <c r="B223" s="142"/>
      <c r="C223" s="146"/>
      <c r="D223" s="37" t="s">
        <v>160</v>
      </c>
      <c r="E223" s="38" t="s">
        <v>146</v>
      </c>
      <c r="F223" s="38" t="s">
        <v>145</v>
      </c>
      <c r="G223" s="38" t="s">
        <v>146</v>
      </c>
    </row>
    <row r="224" spans="1:7" ht="17.25" thickBot="1">
      <c r="A224" s="148"/>
      <c r="B224" s="142"/>
      <c r="C224" s="145"/>
      <c r="D224" s="37" t="s">
        <v>197</v>
      </c>
      <c r="E224" s="38" t="s">
        <v>146</v>
      </c>
      <c r="F224" s="38" t="s">
        <v>145</v>
      </c>
      <c r="G224" s="38" t="s">
        <v>146</v>
      </c>
    </row>
    <row r="225" spans="1:7" ht="17.25" thickBot="1">
      <c r="A225" s="148"/>
      <c r="B225" s="142"/>
      <c r="C225" s="144" t="s">
        <v>179</v>
      </c>
      <c r="D225" s="37" t="s">
        <v>194</v>
      </c>
      <c r="E225" s="38" t="s">
        <v>145</v>
      </c>
      <c r="F225" s="38" t="s">
        <v>145</v>
      </c>
      <c r="G225" s="38" t="s">
        <v>146</v>
      </c>
    </row>
    <row r="226" spans="1:7" ht="17.25" thickBot="1">
      <c r="A226" s="148"/>
      <c r="B226" s="142"/>
      <c r="C226" s="146"/>
      <c r="D226" s="37" t="s">
        <v>208</v>
      </c>
      <c r="E226" s="38" t="s">
        <v>145</v>
      </c>
      <c r="F226" s="38" t="s">
        <v>145</v>
      </c>
      <c r="G226" s="38" t="s">
        <v>146</v>
      </c>
    </row>
    <row r="227" spans="1:7" ht="17.25" thickBot="1">
      <c r="A227" s="148"/>
      <c r="B227" s="142"/>
      <c r="C227" s="145"/>
      <c r="D227" s="37" t="s">
        <v>165</v>
      </c>
      <c r="E227" s="38" t="s">
        <v>145</v>
      </c>
      <c r="F227" s="38" t="s">
        <v>145</v>
      </c>
      <c r="G227" s="38" t="s">
        <v>146</v>
      </c>
    </row>
    <row r="228" spans="1:7" ht="17.25" thickBot="1">
      <c r="A228" s="148"/>
      <c r="B228" s="142"/>
      <c r="C228" s="144" t="s">
        <v>210</v>
      </c>
      <c r="D228" s="37" t="s">
        <v>158</v>
      </c>
      <c r="E228" s="38" t="s">
        <v>146</v>
      </c>
      <c r="F228" s="38" t="s">
        <v>145</v>
      </c>
      <c r="G228" s="38" t="s">
        <v>146</v>
      </c>
    </row>
    <row r="229" spans="1:7" ht="17.25" thickBot="1">
      <c r="A229" s="148"/>
      <c r="B229" s="142"/>
      <c r="C229" s="146"/>
      <c r="D229" s="37" t="s">
        <v>160</v>
      </c>
      <c r="E229" s="38" t="s">
        <v>146</v>
      </c>
      <c r="F229" s="38" t="s">
        <v>145</v>
      </c>
      <c r="G229" s="38" t="s">
        <v>146</v>
      </c>
    </row>
    <row r="230" spans="1:7" ht="17.25" thickBot="1">
      <c r="A230" s="148"/>
      <c r="B230" s="142"/>
      <c r="C230" s="146"/>
      <c r="D230" s="37" t="s">
        <v>194</v>
      </c>
      <c r="E230" s="38" t="s">
        <v>145</v>
      </c>
      <c r="F230" s="38" t="s">
        <v>145</v>
      </c>
      <c r="G230" s="38" t="s">
        <v>146</v>
      </c>
    </row>
    <row r="231" spans="1:7" ht="17.25" thickBot="1">
      <c r="A231" s="148"/>
      <c r="B231" s="142"/>
      <c r="C231" s="146"/>
      <c r="D231" s="37" t="s">
        <v>203</v>
      </c>
      <c r="E231" s="38" t="s">
        <v>145</v>
      </c>
      <c r="F231" s="38" t="s">
        <v>145</v>
      </c>
      <c r="G231" s="38" t="s">
        <v>146</v>
      </c>
    </row>
    <row r="232" spans="1:7" ht="17.25" thickBot="1">
      <c r="A232" s="148"/>
      <c r="B232" s="142"/>
      <c r="C232" s="145"/>
      <c r="D232" s="37" t="s">
        <v>165</v>
      </c>
      <c r="E232" s="38" t="s">
        <v>145</v>
      </c>
      <c r="F232" s="38" t="s">
        <v>145</v>
      </c>
      <c r="G232" s="38" t="s">
        <v>146</v>
      </c>
    </row>
    <row r="233" spans="1:7" ht="17.25" thickBot="1">
      <c r="A233" s="148"/>
      <c r="B233" s="142"/>
      <c r="C233" s="144" t="s">
        <v>214</v>
      </c>
      <c r="D233" s="37" t="s">
        <v>194</v>
      </c>
      <c r="E233" s="38" t="s">
        <v>145</v>
      </c>
      <c r="F233" s="38" t="s">
        <v>145</v>
      </c>
      <c r="G233" s="38" t="s">
        <v>146</v>
      </c>
    </row>
    <row r="234" spans="1:7" ht="17.25" thickBot="1">
      <c r="A234" s="148"/>
      <c r="B234" s="142"/>
      <c r="C234" s="145"/>
      <c r="D234" s="37" t="s">
        <v>215</v>
      </c>
      <c r="E234" s="38" t="s">
        <v>145</v>
      </c>
      <c r="F234" s="38" t="s">
        <v>145</v>
      </c>
      <c r="G234" s="38" t="s">
        <v>146</v>
      </c>
    </row>
    <row r="235" spans="1:7" ht="17.25" thickBot="1">
      <c r="A235" s="148"/>
      <c r="B235" s="142"/>
      <c r="C235" s="144" t="s">
        <v>174</v>
      </c>
      <c r="D235" s="37" t="s">
        <v>158</v>
      </c>
      <c r="E235" s="38" t="s">
        <v>146</v>
      </c>
      <c r="F235" s="38" t="s">
        <v>145</v>
      </c>
      <c r="G235" s="38" t="s">
        <v>146</v>
      </c>
    </row>
    <row r="236" spans="1:7" ht="17.25" thickBot="1">
      <c r="A236" s="148"/>
      <c r="B236" s="142"/>
      <c r="C236" s="145"/>
      <c r="D236" s="37" t="s">
        <v>197</v>
      </c>
      <c r="E236" s="38" t="s">
        <v>146</v>
      </c>
      <c r="F236" s="38" t="s">
        <v>145</v>
      </c>
      <c r="G236" s="38" t="s">
        <v>146</v>
      </c>
    </row>
    <row r="237" spans="1:7" ht="17.25" thickBot="1">
      <c r="A237" s="148"/>
      <c r="B237" s="142"/>
      <c r="C237" s="144" t="s">
        <v>257</v>
      </c>
      <c r="D237" s="37" t="s">
        <v>254</v>
      </c>
      <c r="E237" s="38" t="s">
        <v>146</v>
      </c>
      <c r="F237" s="38" t="s">
        <v>145</v>
      </c>
      <c r="G237" s="38" t="s">
        <v>146</v>
      </c>
    </row>
    <row r="238" spans="1:7" ht="17.25" thickBot="1">
      <c r="A238" s="148"/>
      <c r="B238" s="142"/>
      <c r="C238" s="145"/>
      <c r="D238" s="37" t="s">
        <v>197</v>
      </c>
      <c r="E238" s="38" t="s">
        <v>146</v>
      </c>
      <c r="F238" s="38" t="s">
        <v>145</v>
      </c>
      <c r="G238" s="38" t="s">
        <v>146</v>
      </c>
    </row>
    <row r="239" spans="1:7" ht="17.25" thickBot="1">
      <c r="A239" s="148"/>
      <c r="B239" s="142"/>
      <c r="C239" s="144" t="s">
        <v>258</v>
      </c>
      <c r="D239" s="37" t="s">
        <v>158</v>
      </c>
      <c r="E239" s="38" t="s">
        <v>146</v>
      </c>
      <c r="F239" s="38" t="s">
        <v>145</v>
      </c>
      <c r="G239" s="38" t="s">
        <v>146</v>
      </c>
    </row>
    <row r="240" spans="1:7" ht="17.25" thickBot="1">
      <c r="A240" s="148"/>
      <c r="B240" s="143"/>
      <c r="C240" s="145"/>
      <c r="D240" s="37" t="s">
        <v>197</v>
      </c>
      <c r="E240" s="38" t="s">
        <v>146</v>
      </c>
      <c r="F240" s="38" t="s">
        <v>145</v>
      </c>
      <c r="G240" s="38" t="s">
        <v>146</v>
      </c>
    </row>
    <row r="241" spans="1:7" ht="17.25" thickBot="1">
      <c r="A241" s="148"/>
      <c r="B241" s="141" t="s">
        <v>259</v>
      </c>
      <c r="C241" s="144" t="s">
        <v>260</v>
      </c>
      <c r="D241" s="37" t="s">
        <v>187</v>
      </c>
      <c r="E241" s="38" t="s">
        <v>145</v>
      </c>
      <c r="F241" s="38" t="s">
        <v>145</v>
      </c>
      <c r="G241" s="38" t="s">
        <v>146</v>
      </c>
    </row>
    <row r="242" spans="1:7" ht="17.25" thickBot="1">
      <c r="A242" s="148"/>
      <c r="B242" s="142"/>
      <c r="C242" s="145"/>
      <c r="D242" s="37" t="s">
        <v>208</v>
      </c>
      <c r="E242" s="38" t="s">
        <v>145</v>
      </c>
      <c r="F242" s="38" t="s">
        <v>145</v>
      </c>
      <c r="G242" s="38" t="s">
        <v>146</v>
      </c>
    </row>
    <row r="243" spans="1:7" ht="17.25" thickBot="1">
      <c r="A243" s="148"/>
      <c r="B243" s="142"/>
      <c r="C243" s="144" t="s">
        <v>185</v>
      </c>
      <c r="D243" s="37" t="s">
        <v>194</v>
      </c>
      <c r="E243" s="38" t="s">
        <v>145</v>
      </c>
      <c r="F243" s="38" t="s">
        <v>145</v>
      </c>
      <c r="G243" s="38" t="s">
        <v>146</v>
      </c>
    </row>
    <row r="244" spans="1:7" ht="17.25" thickBot="1">
      <c r="A244" s="148"/>
      <c r="B244" s="142"/>
      <c r="C244" s="145"/>
      <c r="D244" s="37" t="s">
        <v>197</v>
      </c>
      <c r="E244" s="38" t="s">
        <v>146</v>
      </c>
      <c r="F244" s="38" t="s">
        <v>145</v>
      </c>
      <c r="G244" s="38" t="s">
        <v>146</v>
      </c>
    </row>
    <row r="245" spans="1:7" ht="17.25" thickBot="1">
      <c r="A245" s="148"/>
      <c r="B245" s="142"/>
      <c r="C245" s="37" t="s">
        <v>191</v>
      </c>
      <c r="D245" s="37" t="s">
        <v>194</v>
      </c>
      <c r="E245" s="38" t="s">
        <v>145</v>
      </c>
      <c r="F245" s="38" t="s">
        <v>145</v>
      </c>
      <c r="G245" s="38" t="s">
        <v>146</v>
      </c>
    </row>
    <row r="246" spans="1:7" ht="17.25" thickBot="1">
      <c r="A246" s="148"/>
      <c r="B246" s="142"/>
      <c r="C246" s="144" t="s">
        <v>261</v>
      </c>
      <c r="D246" s="37" t="s">
        <v>158</v>
      </c>
      <c r="E246" s="38" t="s">
        <v>146</v>
      </c>
      <c r="F246" s="38" t="s">
        <v>145</v>
      </c>
      <c r="G246" s="38" t="s">
        <v>146</v>
      </c>
    </row>
    <row r="247" spans="1:7" ht="17.25" thickBot="1">
      <c r="A247" s="148"/>
      <c r="B247" s="142"/>
      <c r="C247" s="146"/>
      <c r="D247" s="37" t="s">
        <v>160</v>
      </c>
      <c r="E247" s="38" t="s">
        <v>146</v>
      </c>
      <c r="F247" s="38" t="s">
        <v>145</v>
      </c>
      <c r="G247" s="38" t="s">
        <v>146</v>
      </c>
    </row>
    <row r="248" spans="1:7" ht="17.25" thickBot="1">
      <c r="A248" s="148"/>
      <c r="B248" s="142"/>
      <c r="C248" s="145"/>
      <c r="D248" s="37" t="s">
        <v>197</v>
      </c>
      <c r="E248" s="38" t="s">
        <v>146</v>
      </c>
      <c r="F248" s="38" t="s">
        <v>145</v>
      </c>
      <c r="G248" s="38" t="s">
        <v>146</v>
      </c>
    </row>
    <row r="249" spans="1:7" ht="17.25" thickBot="1">
      <c r="A249" s="148"/>
      <c r="B249" s="142"/>
      <c r="C249" s="144" t="s">
        <v>179</v>
      </c>
      <c r="D249" s="37" t="s">
        <v>194</v>
      </c>
      <c r="E249" s="38" t="s">
        <v>145</v>
      </c>
      <c r="F249" s="38" t="s">
        <v>145</v>
      </c>
      <c r="G249" s="38" t="s">
        <v>146</v>
      </c>
    </row>
    <row r="250" spans="1:7" ht="17.25" thickBot="1">
      <c r="A250" s="148"/>
      <c r="B250" s="142"/>
      <c r="C250" s="146"/>
      <c r="D250" s="37" t="s">
        <v>208</v>
      </c>
      <c r="E250" s="38" t="s">
        <v>145</v>
      </c>
      <c r="F250" s="38" t="s">
        <v>145</v>
      </c>
      <c r="G250" s="38" t="s">
        <v>146</v>
      </c>
    </row>
    <row r="251" spans="1:7" ht="17.25" thickBot="1">
      <c r="A251" s="148"/>
      <c r="B251" s="142"/>
      <c r="C251" s="145"/>
      <c r="D251" s="37" t="s">
        <v>165</v>
      </c>
      <c r="E251" s="38" t="s">
        <v>145</v>
      </c>
      <c r="F251" s="38" t="s">
        <v>145</v>
      </c>
      <c r="G251" s="38" t="s">
        <v>146</v>
      </c>
    </row>
    <row r="252" spans="1:7" ht="17.25" thickBot="1">
      <c r="A252" s="148"/>
      <c r="B252" s="142"/>
      <c r="C252" s="144" t="s">
        <v>210</v>
      </c>
      <c r="D252" s="37" t="s">
        <v>158</v>
      </c>
      <c r="E252" s="38" t="s">
        <v>146</v>
      </c>
      <c r="F252" s="38" t="s">
        <v>145</v>
      </c>
      <c r="G252" s="38" t="s">
        <v>146</v>
      </c>
    </row>
    <row r="253" spans="1:7" ht="17.25" thickBot="1">
      <c r="A253" s="148"/>
      <c r="B253" s="142"/>
      <c r="C253" s="146"/>
      <c r="D253" s="37" t="s">
        <v>160</v>
      </c>
      <c r="E253" s="38" t="s">
        <v>146</v>
      </c>
      <c r="F253" s="38" t="s">
        <v>145</v>
      </c>
      <c r="G253" s="38" t="s">
        <v>146</v>
      </c>
    </row>
    <row r="254" spans="1:7" ht="17.25" thickBot="1">
      <c r="A254" s="148"/>
      <c r="B254" s="142"/>
      <c r="C254" s="146"/>
      <c r="D254" s="37" t="s">
        <v>194</v>
      </c>
      <c r="E254" s="38" t="s">
        <v>145</v>
      </c>
      <c r="F254" s="38" t="s">
        <v>145</v>
      </c>
      <c r="G254" s="38" t="s">
        <v>146</v>
      </c>
    </row>
    <row r="255" spans="1:7" ht="17.25" thickBot="1">
      <c r="A255" s="148"/>
      <c r="B255" s="142"/>
      <c r="C255" s="146"/>
      <c r="D255" s="37" t="s">
        <v>203</v>
      </c>
      <c r="E255" s="38" t="s">
        <v>145</v>
      </c>
      <c r="F255" s="38" t="s">
        <v>145</v>
      </c>
      <c r="G255" s="38" t="s">
        <v>146</v>
      </c>
    </row>
    <row r="256" spans="1:7" ht="17.25" thickBot="1">
      <c r="A256" s="148"/>
      <c r="B256" s="142"/>
      <c r="C256" s="145"/>
      <c r="D256" s="37" t="s">
        <v>165</v>
      </c>
      <c r="E256" s="38" t="s">
        <v>145</v>
      </c>
      <c r="F256" s="38" t="s">
        <v>145</v>
      </c>
      <c r="G256" s="38" t="s">
        <v>146</v>
      </c>
    </row>
    <row r="257" spans="1:7" ht="17.25" thickBot="1">
      <c r="A257" s="148"/>
      <c r="B257" s="142"/>
      <c r="C257" s="144" t="s">
        <v>262</v>
      </c>
      <c r="D257" s="37" t="s">
        <v>263</v>
      </c>
      <c r="E257" s="38" t="s">
        <v>145</v>
      </c>
      <c r="F257" s="38" t="s">
        <v>145</v>
      </c>
      <c r="G257" s="38" t="s">
        <v>146</v>
      </c>
    </row>
    <row r="258" spans="1:7" ht="17.25" thickBot="1">
      <c r="A258" s="148"/>
      <c r="B258" s="142"/>
      <c r="C258" s="146"/>
      <c r="D258" s="37" t="s">
        <v>264</v>
      </c>
      <c r="E258" s="38" t="s">
        <v>145</v>
      </c>
      <c r="F258" s="38" t="s">
        <v>145</v>
      </c>
      <c r="G258" s="38" t="s">
        <v>146</v>
      </c>
    </row>
    <row r="259" spans="1:7" ht="17.25" thickBot="1">
      <c r="A259" s="148"/>
      <c r="B259" s="142"/>
      <c r="C259" s="145"/>
      <c r="D259" s="37" t="s">
        <v>194</v>
      </c>
      <c r="E259" s="38" t="s">
        <v>145</v>
      </c>
      <c r="F259" s="38" t="s">
        <v>145</v>
      </c>
      <c r="G259" s="38" t="s">
        <v>146</v>
      </c>
    </row>
    <row r="260" spans="1:7" ht="17.25" thickBot="1">
      <c r="A260" s="148"/>
      <c r="B260" s="142"/>
      <c r="C260" s="144" t="s">
        <v>214</v>
      </c>
      <c r="D260" s="37" t="s">
        <v>194</v>
      </c>
      <c r="E260" s="38" t="s">
        <v>145</v>
      </c>
      <c r="F260" s="38" t="s">
        <v>145</v>
      </c>
      <c r="G260" s="38" t="s">
        <v>146</v>
      </c>
    </row>
    <row r="261" spans="1:7" ht="17.25" thickBot="1">
      <c r="A261" s="148"/>
      <c r="B261" s="142"/>
      <c r="C261" s="145"/>
      <c r="D261" s="37" t="s">
        <v>215</v>
      </c>
      <c r="E261" s="38" t="s">
        <v>145</v>
      </c>
      <c r="F261" s="38" t="s">
        <v>145</v>
      </c>
      <c r="G261" s="38" t="s">
        <v>146</v>
      </c>
    </row>
    <row r="262" spans="1:7" ht="17.25" thickBot="1">
      <c r="A262" s="148"/>
      <c r="B262" s="142"/>
      <c r="C262" s="144" t="s">
        <v>174</v>
      </c>
      <c r="D262" s="37" t="s">
        <v>158</v>
      </c>
      <c r="E262" s="38" t="s">
        <v>146</v>
      </c>
      <c r="F262" s="38" t="s">
        <v>145</v>
      </c>
      <c r="G262" s="38" t="s">
        <v>146</v>
      </c>
    </row>
    <row r="263" spans="1:7" ht="17.25" thickBot="1">
      <c r="A263" s="148"/>
      <c r="B263" s="142"/>
      <c r="C263" s="145"/>
      <c r="D263" s="37" t="s">
        <v>197</v>
      </c>
      <c r="E263" s="38" t="s">
        <v>146</v>
      </c>
      <c r="F263" s="38" t="s">
        <v>145</v>
      </c>
      <c r="G263" s="38" t="s">
        <v>146</v>
      </c>
    </row>
    <row r="264" spans="1:7" ht="17.25" thickBot="1">
      <c r="A264" s="148"/>
      <c r="B264" s="142"/>
      <c r="C264" s="144" t="s">
        <v>258</v>
      </c>
      <c r="D264" s="37" t="s">
        <v>158</v>
      </c>
      <c r="E264" s="38" t="s">
        <v>146</v>
      </c>
      <c r="F264" s="38" t="s">
        <v>145</v>
      </c>
      <c r="G264" s="38" t="s">
        <v>146</v>
      </c>
    </row>
    <row r="265" spans="1:7" ht="17.25" thickBot="1">
      <c r="A265" s="148"/>
      <c r="B265" s="143"/>
      <c r="C265" s="145"/>
      <c r="D265" s="37" t="s">
        <v>197</v>
      </c>
      <c r="E265" s="38" t="s">
        <v>146</v>
      </c>
      <c r="F265" s="38" t="s">
        <v>145</v>
      </c>
      <c r="G265" s="38" t="s">
        <v>146</v>
      </c>
    </row>
    <row r="266" spans="1:7" ht="17.25" thickBot="1">
      <c r="A266" s="148"/>
      <c r="B266" s="141" t="s">
        <v>265</v>
      </c>
      <c r="C266" s="144" t="s">
        <v>252</v>
      </c>
      <c r="D266" s="37" t="s">
        <v>194</v>
      </c>
      <c r="E266" s="38" t="s">
        <v>145</v>
      </c>
      <c r="F266" s="38" t="s">
        <v>145</v>
      </c>
      <c r="G266" s="38" t="s">
        <v>146</v>
      </c>
    </row>
    <row r="267" spans="1:7" ht="17.25" thickBot="1">
      <c r="A267" s="148"/>
      <c r="B267" s="142"/>
      <c r="C267" s="145"/>
      <c r="D267" s="37" t="s">
        <v>208</v>
      </c>
      <c r="E267" s="38" t="s">
        <v>145</v>
      </c>
      <c r="F267" s="38" t="s">
        <v>145</v>
      </c>
      <c r="G267" s="38" t="s">
        <v>146</v>
      </c>
    </row>
    <row r="268" spans="1:7" ht="17.25" thickBot="1">
      <c r="A268" s="148"/>
      <c r="B268" s="142"/>
      <c r="C268" s="144" t="s">
        <v>151</v>
      </c>
      <c r="D268" s="37" t="s">
        <v>194</v>
      </c>
      <c r="E268" s="38" t="s">
        <v>145</v>
      </c>
      <c r="F268" s="38" t="s">
        <v>145</v>
      </c>
      <c r="G268" s="38" t="s">
        <v>146</v>
      </c>
    </row>
    <row r="269" spans="1:7" ht="17.25" thickBot="1">
      <c r="A269" s="148"/>
      <c r="B269" s="142"/>
      <c r="C269" s="145"/>
      <c r="D269" s="37" t="s">
        <v>266</v>
      </c>
      <c r="E269" s="38" t="s">
        <v>146</v>
      </c>
      <c r="F269" s="38" t="s">
        <v>145</v>
      </c>
      <c r="G269" s="38" t="s">
        <v>146</v>
      </c>
    </row>
    <row r="270" spans="1:7" ht="17.25" thickBot="1">
      <c r="A270" s="148"/>
      <c r="B270" s="142"/>
      <c r="C270" s="37" t="s">
        <v>186</v>
      </c>
      <c r="D270" s="37" t="s">
        <v>194</v>
      </c>
      <c r="E270" s="38" t="s">
        <v>145</v>
      </c>
      <c r="F270" s="38" t="s">
        <v>145</v>
      </c>
      <c r="G270" s="38" t="s">
        <v>146</v>
      </c>
    </row>
    <row r="271" spans="1:7" ht="17.25" thickBot="1">
      <c r="A271" s="148"/>
      <c r="B271" s="142"/>
      <c r="C271" s="144" t="s">
        <v>244</v>
      </c>
      <c r="D271" s="37" t="s">
        <v>172</v>
      </c>
      <c r="E271" s="38" t="s">
        <v>146</v>
      </c>
      <c r="F271" s="38" t="s">
        <v>145</v>
      </c>
      <c r="G271" s="38" t="s">
        <v>146</v>
      </c>
    </row>
    <row r="272" spans="1:7" ht="17.25" thickBot="1">
      <c r="A272" s="148"/>
      <c r="B272" s="142"/>
      <c r="C272" s="146"/>
      <c r="D272" s="37" t="s">
        <v>153</v>
      </c>
      <c r="E272" s="38" t="s">
        <v>146</v>
      </c>
      <c r="F272" s="38" t="s">
        <v>145</v>
      </c>
      <c r="G272" s="38" t="s">
        <v>145</v>
      </c>
    </row>
    <row r="273" spans="1:7" ht="17.25" thickBot="1">
      <c r="A273" s="148"/>
      <c r="B273" s="142"/>
      <c r="C273" s="146"/>
      <c r="D273" s="37" t="s">
        <v>158</v>
      </c>
      <c r="E273" s="38" t="s">
        <v>146</v>
      </c>
      <c r="F273" s="38" t="s">
        <v>145</v>
      </c>
      <c r="G273" s="38" t="s">
        <v>146</v>
      </c>
    </row>
    <row r="274" spans="1:7" ht="17.25" thickBot="1">
      <c r="A274" s="148"/>
      <c r="B274" s="142"/>
      <c r="C274" s="146"/>
      <c r="D274" s="37" t="s">
        <v>160</v>
      </c>
      <c r="E274" s="38" t="s">
        <v>146</v>
      </c>
      <c r="F274" s="38" t="s">
        <v>145</v>
      </c>
      <c r="G274" s="38" t="s">
        <v>146</v>
      </c>
    </row>
    <row r="275" spans="1:7" ht="17.25" thickBot="1">
      <c r="A275" s="148"/>
      <c r="B275" s="142"/>
      <c r="C275" s="145"/>
      <c r="D275" s="37" t="s">
        <v>197</v>
      </c>
      <c r="E275" s="38" t="s">
        <v>146</v>
      </c>
      <c r="F275" s="38" t="s">
        <v>145</v>
      </c>
      <c r="G275" s="38" t="s">
        <v>146</v>
      </c>
    </row>
    <row r="276" spans="1:7" ht="17.25" thickBot="1">
      <c r="A276" s="148"/>
      <c r="B276" s="142"/>
      <c r="C276" s="144" t="s">
        <v>179</v>
      </c>
      <c r="D276" s="37" t="s">
        <v>194</v>
      </c>
      <c r="E276" s="38" t="s">
        <v>145</v>
      </c>
      <c r="F276" s="38" t="s">
        <v>145</v>
      </c>
      <c r="G276" s="38" t="s">
        <v>146</v>
      </c>
    </row>
    <row r="277" spans="1:7" ht="17.25" thickBot="1">
      <c r="A277" s="148"/>
      <c r="B277" s="142"/>
      <c r="C277" s="146"/>
      <c r="D277" s="37" t="s">
        <v>208</v>
      </c>
      <c r="E277" s="38" t="s">
        <v>145</v>
      </c>
      <c r="F277" s="38" t="s">
        <v>145</v>
      </c>
      <c r="G277" s="38" t="s">
        <v>146</v>
      </c>
    </row>
    <row r="278" spans="1:7" ht="17.25" thickBot="1">
      <c r="A278" s="148"/>
      <c r="B278" s="142"/>
      <c r="C278" s="145"/>
      <c r="D278" s="37" t="s">
        <v>165</v>
      </c>
      <c r="E278" s="38" t="s">
        <v>145</v>
      </c>
      <c r="F278" s="38" t="s">
        <v>145</v>
      </c>
      <c r="G278" s="38" t="s">
        <v>146</v>
      </c>
    </row>
    <row r="279" spans="1:7" ht="17.25" thickBot="1">
      <c r="A279" s="148"/>
      <c r="B279" s="142"/>
      <c r="C279" s="144" t="s">
        <v>210</v>
      </c>
      <c r="D279" s="37" t="s">
        <v>158</v>
      </c>
      <c r="E279" s="38" t="s">
        <v>146</v>
      </c>
      <c r="F279" s="38" t="s">
        <v>145</v>
      </c>
      <c r="G279" s="38" t="s">
        <v>146</v>
      </c>
    </row>
    <row r="280" spans="1:7" ht="17.25" thickBot="1">
      <c r="A280" s="148"/>
      <c r="B280" s="142"/>
      <c r="C280" s="146"/>
      <c r="D280" s="37" t="s">
        <v>160</v>
      </c>
      <c r="E280" s="38" t="s">
        <v>146</v>
      </c>
      <c r="F280" s="38" t="s">
        <v>145</v>
      </c>
      <c r="G280" s="38" t="s">
        <v>146</v>
      </c>
    </row>
    <row r="281" spans="1:7" ht="17.25" thickBot="1">
      <c r="A281" s="148"/>
      <c r="B281" s="142"/>
      <c r="C281" s="146"/>
      <c r="D281" s="37" t="s">
        <v>194</v>
      </c>
      <c r="E281" s="38" t="s">
        <v>145</v>
      </c>
      <c r="F281" s="38" t="s">
        <v>145</v>
      </c>
      <c r="G281" s="38" t="s">
        <v>146</v>
      </c>
    </row>
    <row r="282" spans="1:7" ht="17.25" thickBot="1">
      <c r="A282" s="148"/>
      <c r="B282" s="142"/>
      <c r="C282" s="146"/>
      <c r="D282" s="37" t="s">
        <v>203</v>
      </c>
      <c r="E282" s="38" t="s">
        <v>145</v>
      </c>
      <c r="F282" s="38" t="s">
        <v>145</v>
      </c>
      <c r="G282" s="38" t="s">
        <v>146</v>
      </c>
    </row>
    <row r="283" spans="1:7" ht="17.25" thickBot="1">
      <c r="A283" s="148"/>
      <c r="B283" s="142"/>
      <c r="C283" s="145"/>
      <c r="D283" s="37" t="s">
        <v>165</v>
      </c>
      <c r="E283" s="38" t="s">
        <v>145</v>
      </c>
      <c r="F283" s="38" t="s">
        <v>145</v>
      </c>
      <c r="G283" s="38" t="s">
        <v>146</v>
      </c>
    </row>
    <row r="284" spans="1:7" ht="17.25" thickBot="1">
      <c r="A284" s="148"/>
      <c r="B284" s="142"/>
      <c r="C284" s="144" t="s">
        <v>214</v>
      </c>
      <c r="D284" s="37" t="s">
        <v>194</v>
      </c>
      <c r="E284" s="38" t="s">
        <v>145</v>
      </c>
      <c r="F284" s="38" t="s">
        <v>145</v>
      </c>
      <c r="G284" s="38" t="s">
        <v>146</v>
      </c>
    </row>
    <row r="285" spans="1:7" ht="17.25" thickBot="1">
      <c r="A285" s="148"/>
      <c r="B285" s="142"/>
      <c r="C285" s="145"/>
      <c r="D285" s="37" t="s">
        <v>215</v>
      </c>
      <c r="E285" s="38" t="s">
        <v>145</v>
      </c>
      <c r="F285" s="38" t="s">
        <v>145</v>
      </c>
      <c r="G285" s="38" t="s">
        <v>146</v>
      </c>
    </row>
    <row r="286" spans="1:7" ht="17.25" thickBot="1">
      <c r="A286" s="148"/>
      <c r="B286" s="142"/>
      <c r="C286" s="144" t="s">
        <v>174</v>
      </c>
      <c r="D286" s="37" t="s">
        <v>158</v>
      </c>
      <c r="E286" s="38" t="s">
        <v>146</v>
      </c>
      <c r="F286" s="38" t="s">
        <v>145</v>
      </c>
      <c r="G286" s="38" t="s">
        <v>146</v>
      </c>
    </row>
    <row r="287" spans="1:7" ht="17.25" thickBot="1">
      <c r="A287" s="148"/>
      <c r="B287" s="143"/>
      <c r="C287" s="145"/>
      <c r="D287" s="37" t="s">
        <v>197</v>
      </c>
      <c r="E287" s="38" t="s">
        <v>146</v>
      </c>
      <c r="F287" s="38" t="s">
        <v>145</v>
      </c>
      <c r="G287" s="38" t="s">
        <v>146</v>
      </c>
    </row>
    <row r="288" spans="1:7" ht="17.25" thickBot="1">
      <c r="A288" s="148"/>
      <c r="B288" s="141" t="s">
        <v>267</v>
      </c>
      <c r="C288" s="144" t="s">
        <v>268</v>
      </c>
      <c r="D288" s="37" t="s">
        <v>263</v>
      </c>
      <c r="E288" s="38" t="s">
        <v>145</v>
      </c>
      <c r="F288" s="38" t="s">
        <v>145</v>
      </c>
      <c r="G288" s="38" t="s">
        <v>146</v>
      </c>
    </row>
    <row r="289" spans="1:7" ht="17.25" thickBot="1">
      <c r="A289" s="148"/>
      <c r="B289" s="142"/>
      <c r="C289" s="146"/>
      <c r="D289" s="37" t="s">
        <v>264</v>
      </c>
      <c r="E289" s="38" t="s">
        <v>145</v>
      </c>
      <c r="F289" s="38" t="s">
        <v>145</v>
      </c>
      <c r="G289" s="38" t="s">
        <v>146</v>
      </c>
    </row>
    <row r="290" spans="1:7" ht="17.25" thickBot="1">
      <c r="A290" s="148"/>
      <c r="B290" s="142"/>
      <c r="C290" s="146"/>
      <c r="D290" s="37" t="s">
        <v>269</v>
      </c>
      <c r="E290" s="38" t="s">
        <v>145</v>
      </c>
      <c r="F290" s="38" t="s">
        <v>145</v>
      </c>
      <c r="G290" s="38" t="s">
        <v>146</v>
      </c>
    </row>
    <row r="291" spans="1:7" ht="17.25" thickBot="1">
      <c r="A291" s="148"/>
      <c r="B291" s="142"/>
      <c r="C291" s="146"/>
      <c r="D291" s="37" t="s">
        <v>270</v>
      </c>
      <c r="E291" s="38" t="s">
        <v>146</v>
      </c>
      <c r="F291" s="38" t="s">
        <v>145</v>
      </c>
      <c r="G291" s="38" t="s">
        <v>146</v>
      </c>
    </row>
    <row r="292" spans="1:7" ht="17.25" thickBot="1">
      <c r="A292" s="148"/>
      <c r="B292" s="142"/>
      <c r="C292" s="146"/>
      <c r="D292" s="37" t="s">
        <v>208</v>
      </c>
      <c r="E292" s="38" t="s">
        <v>145</v>
      </c>
      <c r="F292" s="38" t="s">
        <v>145</v>
      </c>
      <c r="G292" s="38" t="s">
        <v>146</v>
      </c>
    </row>
    <row r="293" spans="1:7" ht="17.25" thickBot="1">
      <c r="A293" s="148"/>
      <c r="B293" s="142"/>
      <c r="C293" s="145"/>
      <c r="D293" s="37" t="s">
        <v>165</v>
      </c>
      <c r="E293" s="38" t="s">
        <v>145</v>
      </c>
      <c r="F293" s="38" t="s">
        <v>145</v>
      </c>
      <c r="G293" s="38" t="s">
        <v>146</v>
      </c>
    </row>
    <row r="294" spans="1:7" ht="17.25" thickBot="1">
      <c r="A294" s="148"/>
      <c r="B294" s="142"/>
      <c r="C294" s="144" t="s">
        <v>226</v>
      </c>
      <c r="D294" s="37" t="s">
        <v>271</v>
      </c>
      <c r="E294" s="38" t="s">
        <v>146</v>
      </c>
      <c r="F294" s="38" t="s">
        <v>145</v>
      </c>
      <c r="G294" s="38" t="s">
        <v>146</v>
      </c>
    </row>
    <row r="295" spans="1:7" ht="17.25" thickBot="1">
      <c r="A295" s="148"/>
      <c r="B295" s="142"/>
      <c r="C295" s="145"/>
      <c r="D295" s="37" t="s">
        <v>132</v>
      </c>
      <c r="E295" s="38" t="s">
        <v>146</v>
      </c>
      <c r="F295" s="38" t="s">
        <v>145</v>
      </c>
      <c r="G295" s="38" t="s">
        <v>146</v>
      </c>
    </row>
    <row r="296" spans="1:7" ht="17.25" thickBot="1">
      <c r="A296" s="148"/>
      <c r="B296" s="142"/>
      <c r="C296" s="144" t="s">
        <v>252</v>
      </c>
      <c r="D296" s="37" t="s">
        <v>263</v>
      </c>
      <c r="E296" s="38" t="s">
        <v>145</v>
      </c>
      <c r="F296" s="38" t="s">
        <v>145</v>
      </c>
      <c r="G296" s="38" t="s">
        <v>146</v>
      </c>
    </row>
    <row r="297" spans="1:7" ht="17.25" thickBot="1">
      <c r="A297" s="148"/>
      <c r="B297" s="142"/>
      <c r="C297" s="146"/>
      <c r="D297" s="37" t="s">
        <v>194</v>
      </c>
      <c r="E297" s="38" t="s">
        <v>145</v>
      </c>
      <c r="F297" s="38" t="s">
        <v>145</v>
      </c>
      <c r="G297" s="38" t="s">
        <v>146</v>
      </c>
    </row>
    <row r="298" spans="1:7" ht="17.25" thickBot="1">
      <c r="A298" s="148"/>
      <c r="B298" s="142"/>
      <c r="C298" s="146"/>
      <c r="D298" s="37" t="s">
        <v>272</v>
      </c>
      <c r="E298" s="38" t="s">
        <v>145</v>
      </c>
      <c r="F298" s="38" t="s">
        <v>145</v>
      </c>
      <c r="G298" s="38" t="s">
        <v>146</v>
      </c>
    </row>
    <row r="299" spans="1:7" ht="17.25" thickBot="1">
      <c r="A299" s="148"/>
      <c r="B299" s="142"/>
      <c r="C299" s="145"/>
      <c r="D299" s="37" t="s">
        <v>208</v>
      </c>
      <c r="E299" s="38" t="s">
        <v>145</v>
      </c>
      <c r="F299" s="38" t="s">
        <v>145</v>
      </c>
      <c r="G299" s="38" t="s">
        <v>146</v>
      </c>
    </row>
    <row r="300" spans="1:7" ht="17.25" thickBot="1">
      <c r="A300" s="148"/>
      <c r="B300" s="142"/>
      <c r="C300" s="144" t="s">
        <v>151</v>
      </c>
      <c r="D300" s="37" t="s">
        <v>273</v>
      </c>
      <c r="E300" s="38" t="s">
        <v>145</v>
      </c>
      <c r="F300" s="38" t="s">
        <v>145</v>
      </c>
      <c r="G300" s="38" t="s">
        <v>146</v>
      </c>
    </row>
    <row r="301" spans="1:7" ht="17.25" thickBot="1">
      <c r="A301" s="148"/>
      <c r="B301" s="142"/>
      <c r="C301" s="146"/>
      <c r="D301" s="37" t="s">
        <v>194</v>
      </c>
      <c r="E301" s="38" t="s">
        <v>145</v>
      </c>
      <c r="F301" s="38" t="s">
        <v>145</v>
      </c>
      <c r="G301" s="38" t="s">
        <v>146</v>
      </c>
    </row>
    <row r="302" spans="1:7" ht="17.25" thickBot="1">
      <c r="A302" s="148"/>
      <c r="B302" s="142"/>
      <c r="C302" s="146"/>
      <c r="D302" s="37" t="s">
        <v>266</v>
      </c>
      <c r="E302" s="38" t="s">
        <v>146</v>
      </c>
      <c r="F302" s="38" t="s">
        <v>145</v>
      </c>
      <c r="G302" s="38" t="s">
        <v>146</v>
      </c>
    </row>
    <row r="303" spans="1:7" ht="17.25" thickBot="1">
      <c r="A303" s="148"/>
      <c r="B303" s="142"/>
      <c r="C303" s="145"/>
      <c r="D303" s="37" t="s">
        <v>272</v>
      </c>
      <c r="E303" s="38" t="s">
        <v>145</v>
      </c>
      <c r="F303" s="38" t="s">
        <v>145</v>
      </c>
      <c r="G303" s="38" t="s">
        <v>146</v>
      </c>
    </row>
    <row r="304" spans="1:7" ht="17.25" thickBot="1">
      <c r="A304" s="148"/>
      <c r="B304" s="142"/>
      <c r="C304" s="144" t="s">
        <v>186</v>
      </c>
      <c r="D304" s="37" t="s">
        <v>263</v>
      </c>
      <c r="E304" s="38" t="s">
        <v>145</v>
      </c>
      <c r="F304" s="38" t="s">
        <v>145</v>
      </c>
      <c r="G304" s="38" t="s">
        <v>146</v>
      </c>
    </row>
    <row r="305" spans="1:7" ht="17.25" thickBot="1">
      <c r="A305" s="148"/>
      <c r="B305" s="142"/>
      <c r="C305" s="146"/>
      <c r="D305" s="37" t="s">
        <v>194</v>
      </c>
      <c r="E305" s="38" t="s">
        <v>145</v>
      </c>
      <c r="F305" s="38" t="s">
        <v>145</v>
      </c>
      <c r="G305" s="38" t="s">
        <v>146</v>
      </c>
    </row>
    <row r="306" spans="1:7" ht="17.25" thickBot="1">
      <c r="A306" s="148"/>
      <c r="B306" s="142"/>
      <c r="C306" s="145"/>
      <c r="D306" s="37" t="s">
        <v>272</v>
      </c>
      <c r="E306" s="38" t="s">
        <v>145</v>
      </c>
      <c r="F306" s="38" t="s">
        <v>145</v>
      </c>
      <c r="G306" s="38" t="s">
        <v>146</v>
      </c>
    </row>
    <row r="307" spans="1:7" ht="32.1" customHeight="1" thickBot="1">
      <c r="A307" s="148"/>
      <c r="B307" s="142"/>
      <c r="C307" s="144" t="s">
        <v>274</v>
      </c>
      <c r="D307" s="37" t="s">
        <v>275</v>
      </c>
      <c r="E307" s="38" t="s">
        <v>145</v>
      </c>
      <c r="F307" s="38" t="s">
        <v>145</v>
      </c>
      <c r="G307" s="38" t="s">
        <v>146</v>
      </c>
    </row>
    <row r="308" spans="1:7" ht="17.25" thickBot="1">
      <c r="A308" s="148"/>
      <c r="B308" s="142"/>
      <c r="C308" s="145"/>
      <c r="D308" s="37" t="s">
        <v>263</v>
      </c>
      <c r="E308" s="38" t="s">
        <v>145</v>
      </c>
      <c r="F308" s="38" t="s">
        <v>145</v>
      </c>
      <c r="G308" s="38" t="s">
        <v>146</v>
      </c>
    </row>
    <row r="309" spans="1:7" ht="17.25" thickBot="1">
      <c r="A309" s="148"/>
      <c r="B309" s="142"/>
      <c r="C309" s="144" t="s">
        <v>276</v>
      </c>
      <c r="D309" s="37" t="s">
        <v>254</v>
      </c>
      <c r="E309" s="38" t="s">
        <v>146</v>
      </c>
      <c r="F309" s="38" t="s">
        <v>145</v>
      </c>
      <c r="G309" s="38" t="s">
        <v>146</v>
      </c>
    </row>
    <row r="310" spans="1:7" ht="17.25" thickBot="1">
      <c r="A310" s="148"/>
      <c r="B310" s="142"/>
      <c r="C310" s="145"/>
      <c r="D310" s="37" t="s">
        <v>197</v>
      </c>
      <c r="E310" s="38" t="s">
        <v>146</v>
      </c>
      <c r="F310" s="38" t="s">
        <v>145</v>
      </c>
      <c r="G310" s="38" t="s">
        <v>146</v>
      </c>
    </row>
    <row r="311" spans="1:7" ht="17.25" thickBot="1">
      <c r="A311" s="148"/>
      <c r="B311" s="142"/>
      <c r="C311" s="144" t="s">
        <v>277</v>
      </c>
      <c r="D311" s="37" t="s">
        <v>255</v>
      </c>
      <c r="E311" s="38" t="s">
        <v>146</v>
      </c>
      <c r="F311" s="38" t="s">
        <v>145</v>
      </c>
      <c r="G311" s="38" t="s">
        <v>146</v>
      </c>
    </row>
    <row r="312" spans="1:7" ht="17.25" thickBot="1">
      <c r="A312" s="148"/>
      <c r="B312" s="142"/>
      <c r="C312" s="145"/>
      <c r="D312" s="37" t="s">
        <v>278</v>
      </c>
      <c r="E312" s="38" t="s">
        <v>146</v>
      </c>
      <c r="F312" s="38" t="s">
        <v>146</v>
      </c>
      <c r="G312" s="38" t="s">
        <v>146</v>
      </c>
    </row>
    <row r="313" spans="1:7" ht="17.25" thickBot="1">
      <c r="A313" s="148"/>
      <c r="B313" s="142"/>
      <c r="C313" s="144" t="s">
        <v>279</v>
      </c>
      <c r="D313" s="37" t="s">
        <v>271</v>
      </c>
      <c r="E313" s="38" t="s">
        <v>146</v>
      </c>
      <c r="F313" s="38" t="s">
        <v>145</v>
      </c>
      <c r="G313" s="38" t="s">
        <v>146</v>
      </c>
    </row>
    <row r="314" spans="1:7" ht="17.25" thickBot="1">
      <c r="A314" s="148"/>
      <c r="B314" s="142"/>
      <c r="C314" s="145"/>
      <c r="D314" s="37" t="s">
        <v>132</v>
      </c>
      <c r="E314" s="38" t="s">
        <v>146</v>
      </c>
      <c r="F314" s="38" t="s">
        <v>145</v>
      </c>
      <c r="G314" s="38" t="s">
        <v>146</v>
      </c>
    </row>
    <row r="315" spans="1:7" ht="17.25" thickBot="1">
      <c r="A315" s="148"/>
      <c r="B315" s="142"/>
      <c r="C315" s="144" t="s">
        <v>253</v>
      </c>
      <c r="D315" s="37" t="s">
        <v>255</v>
      </c>
      <c r="E315" s="38" t="s">
        <v>146</v>
      </c>
      <c r="F315" s="38" t="s">
        <v>145</v>
      </c>
      <c r="G315" s="38" t="s">
        <v>146</v>
      </c>
    </row>
    <row r="316" spans="1:7" ht="17.25" thickBot="1">
      <c r="A316" s="148"/>
      <c r="B316" s="142"/>
      <c r="C316" s="146"/>
      <c r="D316" s="37" t="s">
        <v>256</v>
      </c>
      <c r="E316" s="38" t="s">
        <v>146</v>
      </c>
      <c r="F316" s="38" t="s">
        <v>145</v>
      </c>
      <c r="G316" s="38" t="s">
        <v>146</v>
      </c>
    </row>
    <row r="317" spans="1:7" ht="17.25" thickBot="1">
      <c r="A317" s="148"/>
      <c r="B317" s="142"/>
      <c r="C317" s="145"/>
      <c r="D317" s="37" t="s">
        <v>264</v>
      </c>
      <c r="E317" s="38" t="s">
        <v>145</v>
      </c>
      <c r="F317" s="38" t="s">
        <v>145</v>
      </c>
      <c r="G317" s="38" t="s">
        <v>146</v>
      </c>
    </row>
    <row r="318" spans="1:7" ht="17.25" thickBot="1">
      <c r="A318" s="148"/>
      <c r="B318" s="142"/>
      <c r="C318" s="144" t="s">
        <v>244</v>
      </c>
      <c r="D318" s="37" t="s">
        <v>160</v>
      </c>
      <c r="E318" s="38" t="s">
        <v>146</v>
      </c>
      <c r="F318" s="38" t="s">
        <v>145</v>
      </c>
      <c r="G318" s="38" t="s">
        <v>146</v>
      </c>
    </row>
    <row r="319" spans="1:7" ht="17.25" thickBot="1">
      <c r="A319" s="148"/>
      <c r="B319" s="142"/>
      <c r="C319" s="145"/>
      <c r="D319" s="37" t="s">
        <v>197</v>
      </c>
      <c r="E319" s="38" t="s">
        <v>146</v>
      </c>
      <c r="F319" s="38" t="s">
        <v>145</v>
      </c>
      <c r="G319" s="38" t="s">
        <v>146</v>
      </c>
    </row>
    <row r="320" spans="1:7" ht="17.25" thickBot="1">
      <c r="A320" s="148"/>
      <c r="B320" s="142"/>
      <c r="C320" s="144" t="s">
        <v>179</v>
      </c>
      <c r="D320" s="37" t="s">
        <v>194</v>
      </c>
      <c r="E320" s="38" t="s">
        <v>145</v>
      </c>
      <c r="F320" s="38" t="s">
        <v>145</v>
      </c>
      <c r="G320" s="38" t="s">
        <v>146</v>
      </c>
    </row>
    <row r="321" spans="1:7" ht="17.25" thickBot="1">
      <c r="A321" s="148"/>
      <c r="B321" s="142"/>
      <c r="C321" s="146"/>
      <c r="D321" s="37" t="s">
        <v>272</v>
      </c>
      <c r="E321" s="38" t="s">
        <v>145</v>
      </c>
      <c r="F321" s="38" t="s">
        <v>145</v>
      </c>
      <c r="G321" s="38" t="s">
        <v>146</v>
      </c>
    </row>
    <row r="322" spans="1:7" ht="17.25" thickBot="1">
      <c r="A322" s="148"/>
      <c r="B322" s="142"/>
      <c r="C322" s="146"/>
      <c r="D322" s="37" t="s">
        <v>208</v>
      </c>
      <c r="E322" s="38" t="s">
        <v>145</v>
      </c>
      <c r="F322" s="38" t="s">
        <v>145</v>
      </c>
      <c r="G322" s="38" t="s">
        <v>146</v>
      </c>
    </row>
    <row r="323" spans="1:7" ht="17.25" thickBot="1">
      <c r="A323" s="148"/>
      <c r="B323" s="142"/>
      <c r="C323" s="145"/>
      <c r="D323" s="37" t="s">
        <v>165</v>
      </c>
      <c r="E323" s="38" t="s">
        <v>145</v>
      </c>
      <c r="F323" s="38" t="s">
        <v>145</v>
      </c>
      <c r="G323" s="38" t="s">
        <v>146</v>
      </c>
    </row>
    <row r="324" spans="1:7" ht="17.25" thickBot="1">
      <c r="A324" s="148"/>
      <c r="B324" s="142"/>
      <c r="C324" s="144" t="s">
        <v>224</v>
      </c>
      <c r="D324" s="37" t="s">
        <v>254</v>
      </c>
      <c r="E324" s="38" t="s">
        <v>146</v>
      </c>
      <c r="F324" s="38" t="s">
        <v>145</v>
      </c>
      <c r="G324" s="38" t="s">
        <v>146</v>
      </c>
    </row>
    <row r="325" spans="1:7" ht="17.25" thickBot="1">
      <c r="A325" s="148"/>
      <c r="B325" s="142"/>
      <c r="C325" s="146"/>
      <c r="D325" s="37" t="s">
        <v>278</v>
      </c>
      <c r="E325" s="38" t="s">
        <v>146</v>
      </c>
      <c r="F325" s="38" t="s">
        <v>146</v>
      </c>
      <c r="G325" s="38" t="s">
        <v>146</v>
      </c>
    </row>
    <row r="326" spans="1:7" ht="17.25" thickBot="1">
      <c r="A326" s="148"/>
      <c r="B326" s="142"/>
      <c r="C326" s="145"/>
      <c r="D326" s="37" t="s">
        <v>256</v>
      </c>
      <c r="E326" s="38" t="s">
        <v>146</v>
      </c>
      <c r="F326" s="38" t="s">
        <v>145</v>
      </c>
      <c r="G326" s="38" t="s">
        <v>146</v>
      </c>
    </row>
    <row r="327" spans="1:7" ht="17.25" thickBot="1">
      <c r="A327" s="148"/>
      <c r="B327" s="142"/>
      <c r="C327" s="144" t="s">
        <v>210</v>
      </c>
      <c r="D327" s="37" t="s">
        <v>160</v>
      </c>
      <c r="E327" s="38" t="s">
        <v>146</v>
      </c>
      <c r="F327" s="38" t="s">
        <v>145</v>
      </c>
      <c r="G327" s="38" t="s">
        <v>146</v>
      </c>
    </row>
    <row r="328" spans="1:7" ht="17.25" thickBot="1">
      <c r="A328" s="148"/>
      <c r="B328" s="142"/>
      <c r="C328" s="146"/>
      <c r="D328" s="37" t="s">
        <v>194</v>
      </c>
      <c r="E328" s="38" t="s">
        <v>145</v>
      </c>
      <c r="F328" s="38" t="s">
        <v>145</v>
      </c>
      <c r="G328" s="38" t="s">
        <v>146</v>
      </c>
    </row>
    <row r="329" spans="1:7" ht="17.25" thickBot="1">
      <c r="A329" s="148"/>
      <c r="B329" s="142"/>
      <c r="C329" s="146"/>
      <c r="D329" s="37" t="s">
        <v>203</v>
      </c>
      <c r="E329" s="38" t="s">
        <v>145</v>
      </c>
      <c r="F329" s="38" t="s">
        <v>145</v>
      </c>
      <c r="G329" s="38" t="s">
        <v>146</v>
      </c>
    </row>
    <row r="330" spans="1:7" ht="17.25" thickBot="1">
      <c r="A330" s="148"/>
      <c r="B330" s="142"/>
      <c r="C330" s="145"/>
      <c r="D330" s="37" t="s">
        <v>149</v>
      </c>
      <c r="E330" s="38" t="s">
        <v>145</v>
      </c>
      <c r="F330" s="38" t="s">
        <v>145</v>
      </c>
      <c r="G330" s="38" t="s">
        <v>146</v>
      </c>
    </row>
    <row r="331" spans="1:7" ht="17.25" thickBot="1">
      <c r="A331" s="148"/>
      <c r="B331" s="142"/>
      <c r="C331" s="144" t="s">
        <v>129</v>
      </c>
      <c r="D331" s="37" t="s">
        <v>212</v>
      </c>
      <c r="E331" s="38" t="s">
        <v>146</v>
      </c>
      <c r="F331" s="38" t="s">
        <v>145</v>
      </c>
      <c r="G331" s="38" t="s">
        <v>146</v>
      </c>
    </row>
    <row r="332" spans="1:7" ht="17.25" thickBot="1">
      <c r="A332" s="148"/>
      <c r="B332" s="142"/>
      <c r="C332" s="146"/>
      <c r="D332" s="37" t="s">
        <v>254</v>
      </c>
      <c r="E332" s="38" t="s">
        <v>146</v>
      </c>
      <c r="F332" s="38" t="s">
        <v>145</v>
      </c>
      <c r="G332" s="38" t="s">
        <v>146</v>
      </c>
    </row>
    <row r="333" spans="1:7" ht="17.25" thickBot="1">
      <c r="A333" s="148"/>
      <c r="B333" s="142"/>
      <c r="C333" s="145"/>
      <c r="D333" s="37" t="s">
        <v>160</v>
      </c>
      <c r="E333" s="38" t="s">
        <v>146</v>
      </c>
      <c r="F333" s="38" t="s">
        <v>145</v>
      </c>
      <c r="G333" s="38" t="s">
        <v>146</v>
      </c>
    </row>
    <row r="334" spans="1:7" ht="17.25" thickBot="1">
      <c r="A334" s="148"/>
      <c r="B334" s="142"/>
      <c r="C334" s="144" t="s">
        <v>280</v>
      </c>
      <c r="D334" s="37" t="s">
        <v>271</v>
      </c>
      <c r="E334" s="38" t="s">
        <v>146</v>
      </c>
      <c r="F334" s="38" t="s">
        <v>145</v>
      </c>
      <c r="G334" s="38" t="s">
        <v>146</v>
      </c>
    </row>
    <row r="335" spans="1:7" ht="17.25" thickBot="1">
      <c r="A335" s="148"/>
      <c r="B335" s="142"/>
      <c r="C335" s="145"/>
      <c r="D335" s="37" t="s">
        <v>132</v>
      </c>
      <c r="E335" s="38" t="s">
        <v>146</v>
      </c>
      <c r="F335" s="38" t="s">
        <v>145</v>
      </c>
      <c r="G335" s="38" t="s">
        <v>146</v>
      </c>
    </row>
    <row r="336" spans="1:7" ht="17.25" thickBot="1">
      <c r="A336" s="148"/>
      <c r="B336" s="142"/>
      <c r="C336" s="144" t="s">
        <v>281</v>
      </c>
      <c r="D336" s="37" t="s">
        <v>271</v>
      </c>
      <c r="E336" s="38" t="s">
        <v>146</v>
      </c>
      <c r="F336" s="38" t="s">
        <v>145</v>
      </c>
      <c r="G336" s="38" t="s">
        <v>146</v>
      </c>
    </row>
    <row r="337" spans="1:7" ht="17.25" thickBot="1">
      <c r="A337" s="148"/>
      <c r="B337" s="142"/>
      <c r="C337" s="146"/>
      <c r="D337" s="37" t="s">
        <v>134</v>
      </c>
      <c r="E337" s="38" t="s">
        <v>145</v>
      </c>
      <c r="F337" s="38" t="s">
        <v>145</v>
      </c>
      <c r="G337" s="38" t="s">
        <v>146</v>
      </c>
    </row>
    <row r="338" spans="1:7" ht="17.25" thickBot="1">
      <c r="A338" s="148"/>
      <c r="B338" s="142"/>
      <c r="C338" s="145"/>
      <c r="D338" s="37" t="s">
        <v>218</v>
      </c>
      <c r="E338" s="38" t="s">
        <v>146</v>
      </c>
      <c r="F338" s="38" t="s">
        <v>145</v>
      </c>
      <c r="G338" s="38" t="s">
        <v>146</v>
      </c>
    </row>
    <row r="339" spans="1:7" ht="17.25" thickBot="1">
      <c r="A339" s="148"/>
      <c r="B339" s="142"/>
      <c r="C339" s="144" t="s">
        <v>227</v>
      </c>
      <c r="D339" s="37" t="s">
        <v>271</v>
      </c>
      <c r="E339" s="38" t="s">
        <v>146</v>
      </c>
      <c r="F339" s="38" t="s">
        <v>145</v>
      </c>
      <c r="G339" s="38" t="s">
        <v>146</v>
      </c>
    </row>
    <row r="340" spans="1:7" ht="17.25" thickBot="1">
      <c r="A340" s="148"/>
      <c r="B340" s="142"/>
      <c r="C340" s="145"/>
      <c r="D340" s="37" t="s">
        <v>132</v>
      </c>
      <c r="E340" s="38" t="s">
        <v>146</v>
      </c>
      <c r="F340" s="38" t="s">
        <v>145</v>
      </c>
      <c r="G340" s="38" t="s">
        <v>146</v>
      </c>
    </row>
    <row r="341" spans="1:7" ht="17.25" thickBot="1">
      <c r="A341" s="148"/>
      <c r="B341" s="142"/>
      <c r="C341" s="144" t="s">
        <v>262</v>
      </c>
      <c r="D341" s="37" t="s">
        <v>263</v>
      </c>
      <c r="E341" s="38" t="s">
        <v>145</v>
      </c>
      <c r="F341" s="38" t="s">
        <v>145</v>
      </c>
      <c r="G341" s="38" t="s">
        <v>146</v>
      </c>
    </row>
    <row r="342" spans="1:7" ht="17.25" thickBot="1">
      <c r="A342" s="148"/>
      <c r="B342" s="142"/>
      <c r="C342" s="146"/>
      <c r="D342" s="37" t="s">
        <v>194</v>
      </c>
      <c r="E342" s="38" t="s">
        <v>145</v>
      </c>
      <c r="F342" s="38" t="s">
        <v>145</v>
      </c>
      <c r="G342" s="38" t="s">
        <v>146</v>
      </c>
    </row>
    <row r="343" spans="1:7" ht="17.25" thickBot="1">
      <c r="A343" s="148"/>
      <c r="B343" s="142"/>
      <c r="C343" s="145"/>
      <c r="D343" s="37" t="s">
        <v>272</v>
      </c>
      <c r="E343" s="38" t="s">
        <v>145</v>
      </c>
      <c r="F343" s="38" t="s">
        <v>145</v>
      </c>
      <c r="G343" s="38" t="s">
        <v>146</v>
      </c>
    </row>
    <row r="344" spans="1:7" ht="17.25" thickBot="1">
      <c r="A344" s="148"/>
      <c r="B344" s="142"/>
      <c r="C344" s="144" t="s">
        <v>214</v>
      </c>
      <c r="D344" s="37" t="s">
        <v>194</v>
      </c>
      <c r="E344" s="38" t="s">
        <v>145</v>
      </c>
      <c r="F344" s="38" t="s">
        <v>145</v>
      </c>
      <c r="G344" s="38" t="s">
        <v>146</v>
      </c>
    </row>
    <row r="345" spans="1:7" ht="17.25" thickBot="1">
      <c r="A345" s="148"/>
      <c r="B345" s="142"/>
      <c r="C345" s="145"/>
      <c r="D345" s="37" t="s">
        <v>215</v>
      </c>
      <c r="E345" s="38" t="s">
        <v>145</v>
      </c>
      <c r="F345" s="38" t="s">
        <v>145</v>
      </c>
      <c r="G345" s="38" t="s">
        <v>146</v>
      </c>
    </row>
    <row r="346" spans="1:7" ht="17.25" thickBot="1">
      <c r="A346" s="148"/>
      <c r="B346" s="143"/>
      <c r="C346" s="37" t="s">
        <v>221</v>
      </c>
      <c r="D346" s="37" t="s">
        <v>165</v>
      </c>
      <c r="E346" s="38" t="s">
        <v>145</v>
      </c>
      <c r="F346" s="38" t="s">
        <v>145</v>
      </c>
      <c r="G346" s="38" t="s">
        <v>146</v>
      </c>
    </row>
    <row r="347" spans="1:7" ht="17.25" thickBot="1">
      <c r="A347" s="148"/>
      <c r="B347" s="141" t="s">
        <v>282</v>
      </c>
      <c r="C347" s="144" t="s">
        <v>268</v>
      </c>
      <c r="D347" s="37" t="s">
        <v>263</v>
      </c>
      <c r="E347" s="38" t="s">
        <v>145</v>
      </c>
      <c r="F347" s="38" t="s">
        <v>145</v>
      </c>
      <c r="G347" s="38" t="s">
        <v>146</v>
      </c>
    </row>
    <row r="348" spans="1:7" ht="17.25" thickBot="1">
      <c r="A348" s="148"/>
      <c r="B348" s="142"/>
      <c r="C348" s="146"/>
      <c r="D348" s="37" t="s">
        <v>264</v>
      </c>
      <c r="E348" s="38" t="s">
        <v>145</v>
      </c>
      <c r="F348" s="38" t="s">
        <v>145</v>
      </c>
      <c r="G348" s="38" t="s">
        <v>146</v>
      </c>
    </row>
    <row r="349" spans="1:7" ht="17.25" thickBot="1">
      <c r="A349" s="148"/>
      <c r="B349" s="142"/>
      <c r="C349" s="146"/>
      <c r="D349" s="37" t="s">
        <v>269</v>
      </c>
      <c r="E349" s="38" t="s">
        <v>145</v>
      </c>
      <c r="F349" s="38" t="s">
        <v>145</v>
      </c>
      <c r="G349" s="38" t="s">
        <v>146</v>
      </c>
    </row>
    <row r="350" spans="1:7" ht="17.25" thickBot="1">
      <c r="A350" s="148"/>
      <c r="B350" s="142"/>
      <c r="C350" s="146"/>
      <c r="D350" s="37" t="s">
        <v>270</v>
      </c>
      <c r="E350" s="38" t="s">
        <v>146</v>
      </c>
      <c r="F350" s="38" t="s">
        <v>145</v>
      </c>
      <c r="G350" s="38" t="s">
        <v>146</v>
      </c>
    </row>
    <row r="351" spans="1:7" ht="17.25" thickBot="1">
      <c r="A351" s="148"/>
      <c r="B351" s="142"/>
      <c r="C351" s="146"/>
      <c r="D351" s="37" t="s">
        <v>208</v>
      </c>
      <c r="E351" s="38" t="s">
        <v>145</v>
      </c>
      <c r="F351" s="38" t="s">
        <v>145</v>
      </c>
      <c r="G351" s="38" t="s">
        <v>146</v>
      </c>
    </row>
    <row r="352" spans="1:7" ht="17.25" thickBot="1">
      <c r="A352" s="148"/>
      <c r="B352" s="142"/>
      <c r="C352" s="146"/>
      <c r="D352" s="37" t="s">
        <v>165</v>
      </c>
      <c r="E352" s="38" t="s">
        <v>145</v>
      </c>
      <c r="F352" s="38" t="s">
        <v>145</v>
      </c>
      <c r="G352" s="38" t="s">
        <v>146</v>
      </c>
    </row>
    <row r="353" spans="1:7" ht="17.25" thickBot="1">
      <c r="A353" s="148"/>
      <c r="B353" s="142"/>
      <c r="C353" s="145"/>
      <c r="D353" s="37" t="s">
        <v>283</v>
      </c>
      <c r="E353" s="38" t="s">
        <v>146</v>
      </c>
      <c r="F353" s="38" t="s">
        <v>145</v>
      </c>
      <c r="G353" s="38" t="s">
        <v>145</v>
      </c>
    </row>
    <row r="354" spans="1:7" ht="17.25" thickBot="1">
      <c r="A354" s="148"/>
      <c r="B354" s="142"/>
      <c r="C354" s="144" t="s">
        <v>226</v>
      </c>
      <c r="D354" s="37" t="s">
        <v>132</v>
      </c>
      <c r="E354" s="38" t="s">
        <v>146</v>
      </c>
      <c r="F354" s="38" t="s">
        <v>145</v>
      </c>
      <c r="G354" s="38" t="s">
        <v>146</v>
      </c>
    </row>
    <row r="355" spans="1:7" ht="17.25" thickBot="1">
      <c r="A355" s="148"/>
      <c r="B355" s="142"/>
      <c r="C355" s="145"/>
      <c r="D355" s="37" t="s">
        <v>197</v>
      </c>
      <c r="E355" s="38" t="s">
        <v>146</v>
      </c>
      <c r="F355" s="38" t="s">
        <v>145</v>
      </c>
      <c r="G355" s="38" t="s">
        <v>146</v>
      </c>
    </row>
    <row r="356" spans="1:7" ht="17.25" thickBot="1">
      <c r="A356" s="148"/>
      <c r="B356" s="142"/>
      <c r="C356" s="144" t="s">
        <v>252</v>
      </c>
      <c r="D356" s="37" t="s">
        <v>263</v>
      </c>
      <c r="E356" s="38" t="s">
        <v>145</v>
      </c>
      <c r="F356" s="38" t="s">
        <v>145</v>
      </c>
      <c r="G356" s="38" t="s">
        <v>146</v>
      </c>
    </row>
    <row r="357" spans="1:7" ht="17.25" thickBot="1">
      <c r="A357" s="148"/>
      <c r="B357" s="142"/>
      <c r="C357" s="146"/>
      <c r="D357" s="37" t="s">
        <v>194</v>
      </c>
      <c r="E357" s="38" t="s">
        <v>145</v>
      </c>
      <c r="F357" s="38" t="s">
        <v>145</v>
      </c>
      <c r="G357" s="38" t="s">
        <v>146</v>
      </c>
    </row>
    <row r="358" spans="1:7" ht="17.25" thickBot="1">
      <c r="A358" s="148"/>
      <c r="B358" s="142"/>
      <c r="C358" s="145"/>
      <c r="D358" s="37" t="s">
        <v>208</v>
      </c>
      <c r="E358" s="38" t="s">
        <v>145</v>
      </c>
      <c r="F358" s="38" t="s">
        <v>145</v>
      </c>
      <c r="G358" s="38" t="s">
        <v>146</v>
      </c>
    </row>
    <row r="359" spans="1:7" ht="17.25" thickBot="1">
      <c r="A359" s="148"/>
      <c r="B359" s="142"/>
      <c r="C359" s="144" t="s">
        <v>185</v>
      </c>
      <c r="D359" s="37" t="s">
        <v>263</v>
      </c>
      <c r="E359" s="38" t="s">
        <v>145</v>
      </c>
      <c r="F359" s="38" t="s">
        <v>145</v>
      </c>
      <c r="G359" s="38" t="s">
        <v>146</v>
      </c>
    </row>
    <row r="360" spans="1:7" ht="17.25" thickBot="1">
      <c r="A360" s="148"/>
      <c r="B360" s="142"/>
      <c r="C360" s="146"/>
      <c r="D360" s="37" t="s">
        <v>194</v>
      </c>
      <c r="E360" s="38" t="s">
        <v>145</v>
      </c>
      <c r="F360" s="38" t="s">
        <v>145</v>
      </c>
      <c r="G360" s="38" t="s">
        <v>146</v>
      </c>
    </row>
    <row r="361" spans="1:7" ht="17.25" thickBot="1">
      <c r="A361" s="148"/>
      <c r="B361" s="142"/>
      <c r="C361" s="145"/>
      <c r="D361" s="37" t="s">
        <v>197</v>
      </c>
      <c r="E361" s="38" t="s">
        <v>146</v>
      </c>
      <c r="F361" s="38" t="s">
        <v>145</v>
      </c>
      <c r="G361" s="38" t="s">
        <v>146</v>
      </c>
    </row>
    <row r="362" spans="1:7" ht="17.25" thickBot="1">
      <c r="A362" s="148"/>
      <c r="B362" s="142"/>
      <c r="C362" s="144" t="s">
        <v>191</v>
      </c>
      <c r="D362" s="37" t="s">
        <v>263</v>
      </c>
      <c r="E362" s="38" t="s">
        <v>145</v>
      </c>
      <c r="F362" s="38" t="s">
        <v>145</v>
      </c>
      <c r="G362" s="38" t="s">
        <v>146</v>
      </c>
    </row>
    <row r="363" spans="1:7" ht="17.25" thickBot="1">
      <c r="A363" s="148"/>
      <c r="B363" s="142"/>
      <c r="C363" s="145"/>
      <c r="D363" s="37" t="s">
        <v>194</v>
      </c>
      <c r="E363" s="38" t="s">
        <v>145</v>
      </c>
      <c r="F363" s="38" t="s">
        <v>145</v>
      </c>
      <c r="G363" s="38" t="s">
        <v>146</v>
      </c>
    </row>
    <row r="364" spans="1:7" ht="17.25" thickBot="1">
      <c r="A364" s="148"/>
      <c r="B364" s="142"/>
      <c r="C364" s="144" t="s">
        <v>276</v>
      </c>
      <c r="D364" s="37" t="s">
        <v>197</v>
      </c>
      <c r="E364" s="38" t="s">
        <v>146</v>
      </c>
      <c r="F364" s="38" t="s">
        <v>145</v>
      </c>
      <c r="G364" s="38" t="s">
        <v>146</v>
      </c>
    </row>
    <row r="365" spans="1:7" ht="17.25" thickBot="1">
      <c r="A365" s="148"/>
      <c r="B365" s="142"/>
      <c r="C365" s="145"/>
      <c r="D365" s="37" t="s">
        <v>283</v>
      </c>
      <c r="E365" s="38" t="s">
        <v>146</v>
      </c>
      <c r="F365" s="38" t="s">
        <v>145</v>
      </c>
      <c r="G365" s="38" t="s">
        <v>145</v>
      </c>
    </row>
    <row r="366" spans="1:7" ht="17.25" thickBot="1">
      <c r="A366" s="148"/>
      <c r="B366" s="142"/>
      <c r="C366" s="37" t="s">
        <v>284</v>
      </c>
      <c r="D366" s="37" t="s">
        <v>283</v>
      </c>
      <c r="E366" s="38" t="s">
        <v>146</v>
      </c>
      <c r="F366" s="38" t="s">
        <v>145</v>
      </c>
      <c r="G366" s="38" t="s">
        <v>145</v>
      </c>
    </row>
    <row r="367" spans="1:7" ht="17.25" thickBot="1">
      <c r="A367" s="148"/>
      <c r="B367" s="142"/>
      <c r="C367" s="144" t="s">
        <v>253</v>
      </c>
      <c r="D367" s="37" t="s">
        <v>264</v>
      </c>
      <c r="E367" s="38" t="s">
        <v>145</v>
      </c>
      <c r="F367" s="38" t="s">
        <v>145</v>
      </c>
      <c r="G367" s="38" t="s">
        <v>146</v>
      </c>
    </row>
    <row r="368" spans="1:7" ht="17.25" thickBot="1">
      <c r="A368" s="148"/>
      <c r="B368" s="142"/>
      <c r="C368" s="145"/>
      <c r="D368" s="37" t="s">
        <v>283</v>
      </c>
      <c r="E368" s="38" t="s">
        <v>146</v>
      </c>
      <c r="F368" s="38" t="s">
        <v>145</v>
      </c>
      <c r="G368" s="38" t="s">
        <v>145</v>
      </c>
    </row>
    <row r="369" spans="1:7" ht="17.25" thickBot="1">
      <c r="A369" s="148"/>
      <c r="B369" s="142"/>
      <c r="C369" s="144" t="s">
        <v>244</v>
      </c>
      <c r="D369" s="37" t="s">
        <v>160</v>
      </c>
      <c r="E369" s="38" t="s">
        <v>146</v>
      </c>
      <c r="F369" s="38" t="s">
        <v>145</v>
      </c>
      <c r="G369" s="38" t="s">
        <v>146</v>
      </c>
    </row>
    <row r="370" spans="1:7" ht="17.25" thickBot="1">
      <c r="A370" s="148"/>
      <c r="B370" s="142"/>
      <c r="C370" s="145"/>
      <c r="D370" s="37" t="s">
        <v>197</v>
      </c>
      <c r="E370" s="38" t="s">
        <v>146</v>
      </c>
      <c r="F370" s="38" t="s">
        <v>145</v>
      </c>
      <c r="G370" s="38" t="s">
        <v>146</v>
      </c>
    </row>
    <row r="371" spans="1:7" ht="17.25" thickBot="1">
      <c r="A371" s="148"/>
      <c r="B371" s="142"/>
      <c r="C371" s="144" t="s">
        <v>179</v>
      </c>
      <c r="D371" s="37" t="s">
        <v>263</v>
      </c>
      <c r="E371" s="38" t="s">
        <v>145</v>
      </c>
      <c r="F371" s="38" t="s">
        <v>145</v>
      </c>
      <c r="G371" s="38" t="s">
        <v>146</v>
      </c>
    </row>
    <row r="372" spans="1:7" ht="17.25" thickBot="1">
      <c r="A372" s="148"/>
      <c r="B372" s="142"/>
      <c r="C372" s="146"/>
      <c r="D372" s="37" t="s">
        <v>194</v>
      </c>
      <c r="E372" s="38" t="s">
        <v>145</v>
      </c>
      <c r="F372" s="38" t="s">
        <v>145</v>
      </c>
      <c r="G372" s="38" t="s">
        <v>146</v>
      </c>
    </row>
    <row r="373" spans="1:7" ht="17.25" thickBot="1">
      <c r="A373" s="148"/>
      <c r="B373" s="142"/>
      <c r="C373" s="146"/>
      <c r="D373" s="37" t="s">
        <v>208</v>
      </c>
      <c r="E373" s="38" t="s">
        <v>145</v>
      </c>
      <c r="F373" s="38" t="s">
        <v>145</v>
      </c>
      <c r="G373" s="38" t="s">
        <v>146</v>
      </c>
    </row>
    <row r="374" spans="1:7" ht="17.25" thickBot="1">
      <c r="A374" s="148"/>
      <c r="B374" s="142"/>
      <c r="C374" s="145"/>
      <c r="D374" s="37" t="s">
        <v>165</v>
      </c>
      <c r="E374" s="38" t="s">
        <v>145</v>
      </c>
      <c r="F374" s="38" t="s">
        <v>145</v>
      </c>
      <c r="G374" s="38" t="s">
        <v>146</v>
      </c>
    </row>
    <row r="375" spans="1:7" ht="33.75" thickBot="1">
      <c r="A375" s="148"/>
      <c r="B375" s="142"/>
      <c r="C375" s="37" t="s">
        <v>285</v>
      </c>
      <c r="D375" s="37" t="s">
        <v>286</v>
      </c>
      <c r="E375" s="38" t="s">
        <v>146</v>
      </c>
      <c r="F375" s="38" t="s">
        <v>146</v>
      </c>
      <c r="G375" s="38" t="s">
        <v>146</v>
      </c>
    </row>
    <row r="376" spans="1:7" ht="17.25" thickBot="1">
      <c r="A376" s="148"/>
      <c r="B376" s="142"/>
      <c r="C376" s="144" t="s">
        <v>224</v>
      </c>
      <c r="D376" s="37" t="s">
        <v>286</v>
      </c>
      <c r="E376" s="38" t="s">
        <v>146</v>
      </c>
      <c r="F376" s="38" t="s">
        <v>146</v>
      </c>
      <c r="G376" s="38" t="s">
        <v>146</v>
      </c>
    </row>
    <row r="377" spans="1:7" ht="17.25" thickBot="1">
      <c r="A377" s="148"/>
      <c r="B377" s="142"/>
      <c r="C377" s="145"/>
      <c r="D377" s="37" t="s">
        <v>197</v>
      </c>
      <c r="E377" s="38" t="s">
        <v>146</v>
      </c>
      <c r="F377" s="38" t="s">
        <v>145</v>
      </c>
      <c r="G377" s="38" t="s">
        <v>146</v>
      </c>
    </row>
    <row r="378" spans="1:7" ht="17.25" thickBot="1">
      <c r="A378" s="148"/>
      <c r="B378" s="142"/>
      <c r="C378" s="144" t="s">
        <v>210</v>
      </c>
      <c r="D378" s="37" t="s">
        <v>160</v>
      </c>
      <c r="E378" s="38" t="s">
        <v>146</v>
      </c>
      <c r="F378" s="38" t="s">
        <v>145</v>
      </c>
      <c r="G378" s="38" t="s">
        <v>146</v>
      </c>
    </row>
    <row r="379" spans="1:7" ht="17.25" thickBot="1">
      <c r="A379" s="148"/>
      <c r="B379" s="142"/>
      <c r="C379" s="146"/>
      <c r="D379" s="37" t="s">
        <v>194</v>
      </c>
      <c r="E379" s="38" t="s">
        <v>145</v>
      </c>
      <c r="F379" s="38" t="s">
        <v>145</v>
      </c>
      <c r="G379" s="38" t="s">
        <v>146</v>
      </c>
    </row>
    <row r="380" spans="1:7" ht="17.25" thickBot="1">
      <c r="A380" s="148"/>
      <c r="B380" s="142"/>
      <c r="C380" s="145"/>
      <c r="D380" s="37" t="s">
        <v>197</v>
      </c>
      <c r="E380" s="38" t="s">
        <v>146</v>
      </c>
      <c r="F380" s="38" t="s">
        <v>145</v>
      </c>
      <c r="G380" s="38" t="s">
        <v>146</v>
      </c>
    </row>
    <row r="381" spans="1:7" ht="17.25" thickBot="1">
      <c r="A381" s="148"/>
      <c r="B381" s="142"/>
      <c r="C381" s="144" t="s">
        <v>129</v>
      </c>
      <c r="D381" s="37" t="s">
        <v>160</v>
      </c>
      <c r="E381" s="38" t="s">
        <v>146</v>
      </c>
      <c r="F381" s="38" t="s">
        <v>145</v>
      </c>
      <c r="G381" s="38" t="s">
        <v>146</v>
      </c>
    </row>
    <row r="382" spans="1:7" ht="17.25" thickBot="1">
      <c r="A382" s="148"/>
      <c r="B382" s="142"/>
      <c r="C382" s="145"/>
      <c r="D382" s="37" t="s">
        <v>197</v>
      </c>
      <c r="E382" s="38" t="s">
        <v>146</v>
      </c>
      <c r="F382" s="38" t="s">
        <v>145</v>
      </c>
      <c r="G382" s="38" t="s">
        <v>146</v>
      </c>
    </row>
    <row r="383" spans="1:7" ht="17.25" thickBot="1">
      <c r="A383" s="148"/>
      <c r="B383" s="142"/>
      <c r="C383" s="144" t="s">
        <v>280</v>
      </c>
      <c r="D383" s="37" t="s">
        <v>286</v>
      </c>
      <c r="E383" s="38" t="s">
        <v>146</v>
      </c>
      <c r="F383" s="38" t="s">
        <v>146</v>
      </c>
      <c r="G383" s="38" t="s">
        <v>146</v>
      </c>
    </row>
    <row r="384" spans="1:7" ht="17.25" thickBot="1">
      <c r="A384" s="148"/>
      <c r="B384" s="142"/>
      <c r="C384" s="145"/>
      <c r="D384" s="37" t="s">
        <v>132</v>
      </c>
      <c r="E384" s="38" t="s">
        <v>146</v>
      </c>
      <c r="F384" s="38" t="s">
        <v>145</v>
      </c>
      <c r="G384" s="38" t="s">
        <v>146</v>
      </c>
    </row>
    <row r="385" spans="1:7" ht="17.25" thickBot="1">
      <c r="A385" s="148"/>
      <c r="B385" s="142"/>
      <c r="C385" s="144" t="s">
        <v>262</v>
      </c>
      <c r="D385" s="37" t="s">
        <v>263</v>
      </c>
      <c r="E385" s="38" t="s">
        <v>145</v>
      </c>
      <c r="F385" s="38" t="s">
        <v>145</v>
      </c>
      <c r="G385" s="38" t="s">
        <v>146</v>
      </c>
    </row>
    <row r="386" spans="1:7" ht="17.25" thickBot="1">
      <c r="A386" s="148"/>
      <c r="B386" s="142"/>
      <c r="C386" s="145"/>
      <c r="D386" s="37" t="s">
        <v>194</v>
      </c>
      <c r="E386" s="38" t="s">
        <v>145</v>
      </c>
      <c r="F386" s="38" t="s">
        <v>145</v>
      </c>
      <c r="G386" s="38" t="s">
        <v>146</v>
      </c>
    </row>
    <row r="387" spans="1:7" ht="17.25" thickBot="1">
      <c r="A387" s="148"/>
      <c r="B387" s="142"/>
      <c r="C387" s="144" t="s">
        <v>214</v>
      </c>
      <c r="D387" s="37" t="s">
        <v>194</v>
      </c>
      <c r="E387" s="38" t="s">
        <v>145</v>
      </c>
      <c r="F387" s="38" t="s">
        <v>145</v>
      </c>
      <c r="G387" s="38" t="s">
        <v>146</v>
      </c>
    </row>
    <row r="388" spans="1:7" ht="17.25" thickBot="1">
      <c r="A388" s="148"/>
      <c r="B388" s="142"/>
      <c r="C388" s="145"/>
      <c r="D388" s="37" t="s">
        <v>215</v>
      </c>
      <c r="E388" s="38" t="s">
        <v>145</v>
      </c>
      <c r="F388" s="38" t="s">
        <v>145</v>
      </c>
      <c r="G388" s="38" t="s">
        <v>146</v>
      </c>
    </row>
    <row r="389" spans="1:7" ht="17.25" thickBot="1">
      <c r="A389" s="148"/>
      <c r="B389" s="142"/>
      <c r="C389" s="37" t="s">
        <v>257</v>
      </c>
      <c r="D389" s="37" t="s">
        <v>197</v>
      </c>
      <c r="E389" s="38" t="s">
        <v>146</v>
      </c>
      <c r="F389" s="38" t="s">
        <v>145</v>
      </c>
      <c r="G389" s="38" t="s">
        <v>146</v>
      </c>
    </row>
    <row r="390" spans="1:7" ht="17.25" thickBot="1">
      <c r="A390" s="148"/>
      <c r="B390" s="143"/>
      <c r="C390" s="37" t="s">
        <v>221</v>
      </c>
      <c r="D390" s="37" t="s">
        <v>177</v>
      </c>
      <c r="E390" s="38" t="s">
        <v>145</v>
      </c>
      <c r="F390" s="38" t="s">
        <v>145</v>
      </c>
      <c r="G390" s="38" t="s">
        <v>146</v>
      </c>
    </row>
    <row r="391" spans="1:7" ht="33.75" thickBot="1">
      <c r="A391" s="148"/>
      <c r="B391" s="141" t="s">
        <v>287</v>
      </c>
      <c r="C391" s="37" t="s">
        <v>226</v>
      </c>
      <c r="D391" s="37" t="s">
        <v>172</v>
      </c>
      <c r="E391" s="38" t="s">
        <v>146</v>
      </c>
      <c r="F391" s="38" t="s">
        <v>145</v>
      </c>
      <c r="G391" s="38" t="s">
        <v>146</v>
      </c>
    </row>
    <row r="392" spans="1:7" ht="17.25" thickBot="1">
      <c r="A392" s="148"/>
      <c r="B392" s="142"/>
      <c r="C392" s="144" t="s">
        <v>252</v>
      </c>
      <c r="D392" s="37" t="s">
        <v>194</v>
      </c>
      <c r="E392" s="38" t="s">
        <v>145</v>
      </c>
      <c r="F392" s="38" t="s">
        <v>145</v>
      </c>
      <c r="G392" s="38" t="s">
        <v>146</v>
      </c>
    </row>
    <row r="393" spans="1:7" ht="17.25" thickBot="1">
      <c r="A393" s="148"/>
      <c r="B393" s="142"/>
      <c r="C393" s="145"/>
      <c r="D393" s="37" t="s">
        <v>209</v>
      </c>
      <c r="E393" s="38" t="s">
        <v>145</v>
      </c>
      <c r="F393" s="38" t="s">
        <v>146</v>
      </c>
      <c r="G393" s="38" t="s">
        <v>146</v>
      </c>
    </row>
    <row r="394" spans="1:7" ht="17.25" thickBot="1">
      <c r="A394" s="148"/>
      <c r="B394" s="142"/>
      <c r="C394" s="144" t="s">
        <v>185</v>
      </c>
      <c r="D394" s="37" t="s">
        <v>213</v>
      </c>
      <c r="E394" s="38" t="s">
        <v>146</v>
      </c>
      <c r="F394" s="38" t="s">
        <v>145</v>
      </c>
      <c r="G394" s="38" t="s">
        <v>146</v>
      </c>
    </row>
    <row r="395" spans="1:7" ht="17.25" thickBot="1">
      <c r="A395" s="148"/>
      <c r="B395" s="142"/>
      <c r="C395" s="146"/>
      <c r="D395" s="37" t="s">
        <v>153</v>
      </c>
      <c r="E395" s="38" t="s">
        <v>146</v>
      </c>
      <c r="F395" s="38" t="s">
        <v>145</v>
      </c>
      <c r="G395" s="38" t="s">
        <v>145</v>
      </c>
    </row>
    <row r="396" spans="1:7" ht="17.25" thickBot="1">
      <c r="A396" s="148"/>
      <c r="B396" s="142"/>
      <c r="C396" s="146"/>
      <c r="D396" s="37" t="s">
        <v>197</v>
      </c>
      <c r="E396" s="38" t="s">
        <v>146</v>
      </c>
      <c r="F396" s="38" t="s">
        <v>145</v>
      </c>
      <c r="G396" s="38" t="s">
        <v>146</v>
      </c>
    </row>
    <row r="397" spans="1:7" ht="17.25" thickBot="1">
      <c r="A397" s="148"/>
      <c r="B397" s="142"/>
      <c r="C397" s="145"/>
      <c r="D397" s="37" t="s">
        <v>209</v>
      </c>
      <c r="E397" s="38" t="s">
        <v>145</v>
      </c>
      <c r="F397" s="38" t="s">
        <v>146</v>
      </c>
      <c r="G397" s="38" t="s">
        <v>146</v>
      </c>
    </row>
    <row r="398" spans="1:7" ht="17.25" thickBot="1">
      <c r="A398" s="148"/>
      <c r="B398" s="142"/>
      <c r="C398" s="144" t="s">
        <v>243</v>
      </c>
      <c r="D398" s="37" t="s">
        <v>158</v>
      </c>
      <c r="E398" s="38" t="s">
        <v>146</v>
      </c>
      <c r="F398" s="38" t="s">
        <v>145</v>
      </c>
      <c r="G398" s="38" t="s">
        <v>146</v>
      </c>
    </row>
    <row r="399" spans="1:7" ht="17.25" thickBot="1">
      <c r="A399" s="148"/>
      <c r="B399" s="142"/>
      <c r="C399" s="146"/>
      <c r="D399" s="37" t="s">
        <v>160</v>
      </c>
      <c r="E399" s="38" t="s">
        <v>146</v>
      </c>
      <c r="F399" s="38" t="s">
        <v>145</v>
      </c>
      <c r="G399" s="38" t="s">
        <v>146</v>
      </c>
    </row>
    <row r="400" spans="1:7" ht="17.25" thickBot="1">
      <c r="A400" s="148"/>
      <c r="B400" s="142"/>
      <c r="C400" s="146"/>
      <c r="D400" s="37" t="s">
        <v>203</v>
      </c>
      <c r="E400" s="38" t="s">
        <v>145</v>
      </c>
      <c r="F400" s="38" t="s">
        <v>145</v>
      </c>
      <c r="G400" s="38" t="s">
        <v>146</v>
      </c>
    </row>
    <row r="401" spans="1:7" ht="17.25" thickBot="1">
      <c r="A401" s="148"/>
      <c r="B401" s="142"/>
      <c r="C401" s="145"/>
      <c r="D401" s="37" t="s">
        <v>209</v>
      </c>
      <c r="E401" s="38" t="s">
        <v>145</v>
      </c>
      <c r="F401" s="38" t="s">
        <v>146</v>
      </c>
      <c r="G401" s="38" t="s">
        <v>146</v>
      </c>
    </row>
    <row r="402" spans="1:7" ht="17.25" thickBot="1">
      <c r="A402" s="148"/>
      <c r="B402" s="142"/>
      <c r="C402" s="144" t="s">
        <v>170</v>
      </c>
      <c r="D402" s="37" t="s">
        <v>158</v>
      </c>
      <c r="E402" s="38" t="s">
        <v>146</v>
      </c>
      <c r="F402" s="38" t="s">
        <v>145</v>
      </c>
      <c r="G402" s="38" t="s">
        <v>146</v>
      </c>
    </row>
    <row r="403" spans="1:7" ht="17.25" thickBot="1">
      <c r="A403" s="148"/>
      <c r="B403" s="142"/>
      <c r="C403" s="145"/>
      <c r="D403" s="37" t="s">
        <v>197</v>
      </c>
      <c r="E403" s="38" t="s">
        <v>146</v>
      </c>
      <c r="F403" s="38" t="s">
        <v>145</v>
      </c>
      <c r="G403" s="38" t="s">
        <v>146</v>
      </c>
    </row>
    <row r="404" spans="1:7" ht="17.25" thickBot="1">
      <c r="A404" s="148"/>
      <c r="B404" s="142"/>
      <c r="C404" s="144" t="s">
        <v>244</v>
      </c>
      <c r="D404" s="37" t="s">
        <v>172</v>
      </c>
      <c r="E404" s="38" t="s">
        <v>146</v>
      </c>
      <c r="F404" s="38" t="s">
        <v>145</v>
      </c>
      <c r="G404" s="38" t="s">
        <v>146</v>
      </c>
    </row>
    <row r="405" spans="1:7" ht="17.25" thickBot="1">
      <c r="A405" s="148"/>
      <c r="B405" s="142"/>
      <c r="C405" s="146"/>
      <c r="D405" s="37" t="s">
        <v>213</v>
      </c>
      <c r="E405" s="38" t="s">
        <v>146</v>
      </c>
      <c r="F405" s="38" t="s">
        <v>145</v>
      </c>
      <c r="G405" s="38" t="s">
        <v>146</v>
      </c>
    </row>
    <row r="406" spans="1:7" ht="17.25" thickBot="1">
      <c r="A406" s="148"/>
      <c r="B406" s="142"/>
      <c r="C406" s="146"/>
      <c r="D406" s="37" t="s">
        <v>153</v>
      </c>
      <c r="E406" s="38" t="s">
        <v>146</v>
      </c>
      <c r="F406" s="38" t="s">
        <v>145</v>
      </c>
      <c r="G406" s="38" t="s">
        <v>145</v>
      </c>
    </row>
    <row r="407" spans="1:7" ht="17.25" thickBot="1">
      <c r="A407" s="148"/>
      <c r="B407" s="142"/>
      <c r="C407" s="145"/>
      <c r="D407" s="37" t="s">
        <v>197</v>
      </c>
      <c r="E407" s="38" t="s">
        <v>146</v>
      </c>
      <c r="F407" s="38" t="s">
        <v>145</v>
      </c>
      <c r="G407" s="38" t="s">
        <v>146</v>
      </c>
    </row>
    <row r="408" spans="1:7" ht="17.25" thickBot="1">
      <c r="A408" s="148"/>
      <c r="B408" s="142"/>
      <c r="C408" s="144" t="s">
        <v>245</v>
      </c>
      <c r="D408" s="37" t="s">
        <v>172</v>
      </c>
      <c r="E408" s="38" t="s">
        <v>146</v>
      </c>
      <c r="F408" s="38" t="s">
        <v>145</v>
      </c>
      <c r="G408" s="38" t="s">
        <v>146</v>
      </c>
    </row>
    <row r="409" spans="1:7" ht="17.25" thickBot="1">
      <c r="A409" s="148"/>
      <c r="B409" s="142"/>
      <c r="C409" s="146"/>
      <c r="D409" s="37" t="s">
        <v>158</v>
      </c>
      <c r="E409" s="38" t="s">
        <v>146</v>
      </c>
      <c r="F409" s="38" t="s">
        <v>145</v>
      </c>
      <c r="G409" s="38" t="s">
        <v>146</v>
      </c>
    </row>
    <row r="410" spans="1:7" ht="17.25" thickBot="1">
      <c r="A410" s="148"/>
      <c r="B410" s="142"/>
      <c r="C410" s="146"/>
      <c r="D410" s="37" t="s">
        <v>160</v>
      </c>
      <c r="E410" s="38" t="s">
        <v>146</v>
      </c>
      <c r="F410" s="38" t="s">
        <v>145</v>
      </c>
      <c r="G410" s="38" t="s">
        <v>146</v>
      </c>
    </row>
    <row r="411" spans="1:7" ht="17.25" thickBot="1">
      <c r="A411" s="148"/>
      <c r="B411" s="142"/>
      <c r="C411" s="145"/>
      <c r="D411" s="37" t="s">
        <v>197</v>
      </c>
      <c r="E411" s="38" t="s">
        <v>146</v>
      </c>
      <c r="F411" s="38" t="s">
        <v>145</v>
      </c>
      <c r="G411" s="38" t="s">
        <v>146</v>
      </c>
    </row>
    <row r="412" spans="1:7" ht="17.25" thickBot="1">
      <c r="A412" s="148"/>
      <c r="B412" s="142"/>
      <c r="C412" s="144" t="s">
        <v>288</v>
      </c>
      <c r="D412" s="37" t="s">
        <v>177</v>
      </c>
      <c r="E412" s="38" t="s">
        <v>145</v>
      </c>
      <c r="F412" s="38" t="s">
        <v>145</v>
      </c>
      <c r="G412" s="38" t="s">
        <v>146</v>
      </c>
    </row>
    <row r="413" spans="1:7" ht="17.25" thickBot="1">
      <c r="A413" s="148"/>
      <c r="B413" s="142"/>
      <c r="C413" s="145"/>
      <c r="D413" s="37" t="s">
        <v>165</v>
      </c>
      <c r="E413" s="38" t="s">
        <v>145</v>
      </c>
      <c r="F413" s="38" t="s">
        <v>145</v>
      </c>
      <c r="G413" s="38" t="s">
        <v>146</v>
      </c>
    </row>
    <row r="414" spans="1:7" ht="17.25" thickBot="1">
      <c r="A414" s="148"/>
      <c r="B414" s="142"/>
      <c r="C414" s="144" t="s">
        <v>289</v>
      </c>
      <c r="D414" s="37" t="s">
        <v>194</v>
      </c>
      <c r="E414" s="38" t="s">
        <v>145</v>
      </c>
      <c r="F414" s="38" t="s">
        <v>145</v>
      </c>
      <c r="G414" s="38" t="s">
        <v>146</v>
      </c>
    </row>
    <row r="415" spans="1:7" ht="17.25" thickBot="1">
      <c r="A415" s="148"/>
      <c r="B415" s="142"/>
      <c r="C415" s="145"/>
      <c r="D415" s="37" t="s">
        <v>209</v>
      </c>
      <c r="E415" s="38" t="s">
        <v>145</v>
      </c>
      <c r="F415" s="38" t="s">
        <v>146</v>
      </c>
      <c r="G415" s="38" t="s">
        <v>146</v>
      </c>
    </row>
    <row r="416" spans="1:7" ht="17.25" thickBot="1">
      <c r="A416" s="148"/>
      <c r="B416" s="142"/>
      <c r="C416" s="144" t="s">
        <v>180</v>
      </c>
      <c r="D416" s="37" t="s">
        <v>182</v>
      </c>
      <c r="E416" s="38" t="s">
        <v>145</v>
      </c>
      <c r="F416" s="38" t="s">
        <v>145</v>
      </c>
      <c r="G416" s="38" t="s">
        <v>146</v>
      </c>
    </row>
    <row r="417" spans="1:7" ht="17.25" thickBot="1">
      <c r="A417" s="148"/>
      <c r="B417" s="142"/>
      <c r="C417" s="146"/>
      <c r="D417" s="37" t="s">
        <v>181</v>
      </c>
      <c r="E417" s="38" t="s">
        <v>145</v>
      </c>
      <c r="F417" s="38" t="s">
        <v>145</v>
      </c>
      <c r="G417" s="38" t="s">
        <v>146</v>
      </c>
    </row>
    <row r="418" spans="1:7" ht="17.25" thickBot="1">
      <c r="A418" s="148"/>
      <c r="B418" s="142"/>
      <c r="C418" s="146"/>
      <c r="D418" s="37" t="s">
        <v>158</v>
      </c>
      <c r="E418" s="38" t="s">
        <v>146</v>
      </c>
      <c r="F418" s="38" t="s">
        <v>145</v>
      </c>
      <c r="G418" s="38" t="s">
        <v>146</v>
      </c>
    </row>
    <row r="419" spans="1:7" ht="17.25" thickBot="1">
      <c r="A419" s="148"/>
      <c r="B419" s="142"/>
      <c r="C419" s="146"/>
      <c r="D419" s="37" t="s">
        <v>160</v>
      </c>
      <c r="E419" s="38" t="s">
        <v>146</v>
      </c>
      <c r="F419" s="38" t="s">
        <v>145</v>
      </c>
      <c r="G419" s="38" t="s">
        <v>146</v>
      </c>
    </row>
    <row r="420" spans="1:7" ht="17.25" thickBot="1">
      <c r="A420" s="148"/>
      <c r="B420" s="142"/>
      <c r="C420" s="145"/>
      <c r="D420" s="37" t="s">
        <v>209</v>
      </c>
      <c r="E420" s="38" t="s">
        <v>145</v>
      </c>
      <c r="F420" s="38" t="s">
        <v>146</v>
      </c>
      <c r="G420" s="38" t="s">
        <v>146</v>
      </c>
    </row>
    <row r="421" spans="1:7" ht="17.25" thickBot="1">
      <c r="A421" s="148"/>
      <c r="B421" s="142"/>
      <c r="C421" s="144" t="s">
        <v>285</v>
      </c>
      <c r="D421" s="37" t="s">
        <v>286</v>
      </c>
      <c r="E421" s="38" t="s">
        <v>146</v>
      </c>
      <c r="F421" s="38" t="s">
        <v>146</v>
      </c>
      <c r="G421" s="38" t="s">
        <v>146</v>
      </c>
    </row>
    <row r="422" spans="1:7" ht="17.25" thickBot="1">
      <c r="A422" s="148"/>
      <c r="B422" s="142"/>
      <c r="C422" s="145"/>
      <c r="D422" s="37" t="s">
        <v>209</v>
      </c>
      <c r="E422" s="38" t="s">
        <v>145</v>
      </c>
      <c r="F422" s="38" t="s">
        <v>146</v>
      </c>
      <c r="G422" s="38" t="s">
        <v>146</v>
      </c>
    </row>
    <row r="423" spans="1:7" ht="17.25" thickBot="1">
      <c r="A423" s="148"/>
      <c r="B423" s="142"/>
      <c r="C423" s="144" t="s">
        <v>210</v>
      </c>
      <c r="D423" s="37" t="s">
        <v>172</v>
      </c>
      <c r="E423" s="38" t="s">
        <v>146</v>
      </c>
      <c r="F423" s="38" t="s">
        <v>145</v>
      </c>
      <c r="G423" s="38" t="s">
        <v>146</v>
      </c>
    </row>
    <row r="424" spans="1:7" ht="17.25" thickBot="1">
      <c r="A424" s="148"/>
      <c r="B424" s="142"/>
      <c r="C424" s="146"/>
      <c r="D424" s="37" t="s">
        <v>213</v>
      </c>
      <c r="E424" s="38" t="s">
        <v>146</v>
      </c>
      <c r="F424" s="38" t="s">
        <v>145</v>
      </c>
      <c r="G424" s="38" t="s">
        <v>146</v>
      </c>
    </row>
    <row r="425" spans="1:7" ht="17.25" thickBot="1">
      <c r="A425" s="148"/>
      <c r="B425" s="142"/>
      <c r="C425" s="146"/>
      <c r="D425" s="37" t="s">
        <v>153</v>
      </c>
      <c r="E425" s="38" t="s">
        <v>146</v>
      </c>
      <c r="F425" s="38" t="s">
        <v>145</v>
      </c>
      <c r="G425" s="38" t="s">
        <v>145</v>
      </c>
    </row>
    <row r="426" spans="1:7" ht="17.25" thickBot="1">
      <c r="A426" s="148"/>
      <c r="B426" s="142"/>
      <c r="C426" s="146"/>
      <c r="D426" s="37" t="s">
        <v>158</v>
      </c>
      <c r="E426" s="38" t="s">
        <v>146</v>
      </c>
      <c r="F426" s="38" t="s">
        <v>145</v>
      </c>
      <c r="G426" s="38" t="s">
        <v>146</v>
      </c>
    </row>
    <row r="427" spans="1:7" ht="17.25" thickBot="1">
      <c r="A427" s="148"/>
      <c r="B427" s="142"/>
      <c r="C427" s="146"/>
      <c r="D427" s="37" t="s">
        <v>203</v>
      </c>
      <c r="E427" s="38" t="s">
        <v>145</v>
      </c>
      <c r="F427" s="38" t="s">
        <v>145</v>
      </c>
      <c r="G427" s="38" t="s">
        <v>146</v>
      </c>
    </row>
    <row r="428" spans="1:7" ht="17.25" thickBot="1">
      <c r="A428" s="148"/>
      <c r="B428" s="142"/>
      <c r="C428" s="146"/>
      <c r="D428" s="37" t="s">
        <v>197</v>
      </c>
      <c r="E428" s="38" t="s">
        <v>146</v>
      </c>
      <c r="F428" s="38" t="s">
        <v>145</v>
      </c>
      <c r="G428" s="38" t="s">
        <v>146</v>
      </c>
    </row>
    <row r="429" spans="1:7" ht="17.25" thickBot="1">
      <c r="A429" s="148"/>
      <c r="B429" s="142"/>
      <c r="C429" s="145"/>
      <c r="D429" s="37" t="s">
        <v>209</v>
      </c>
      <c r="E429" s="38" t="s">
        <v>145</v>
      </c>
      <c r="F429" s="38" t="s">
        <v>146</v>
      </c>
      <c r="G429" s="38" t="s">
        <v>146</v>
      </c>
    </row>
    <row r="430" spans="1:7" ht="17.25" thickBot="1">
      <c r="A430" s="148"/>
      <c r="B430" s="142"/>
      <c r="C430" s="144" t="s">
        <v>129</v>
      </c>
      <c r="D430" s="37" t="s">
        <v>172</v>
      </c>
      <c r="E430" s="38" t="s">
        <v>146</v>
      </c>
      <c r="F430" s="38" t="s">
        <v>145</v>
      </c>
      <c r="G430" s="38" t="s">
        <v>146</v>
      </c>
    </row>
    <row r="431" spans="1:7" ht="17.25" thickBot="1">
      <c r="A431" s="148"/>
      <c r="B431" s="142"/>
      <c r="C431" s="145"/>
      <c r="D431" s="37" t="s">
        <v>197</v>
      </c>
      <c r="E431" s="38" t="s">
        <v>146</v>
      </c>
      <c r="F431" s="38" t="s">
        <v>145</v>
      </c>
      <c r="G431" s="38" t="s">
        <v>146</v>
      </c>
    </row>
    <row r="432" spans="1:7" ht="17.25" thickBot="1">
      <c r="A432" s="148"/>
      <c r="B432" s="142"/>
      <c r="C432" s="144" t="s">
        <v>246</v>
      </c>
      <c r="D432" s="37" t="s">
        <v>194</v>
      </c>
      <c r="E432" s="38" t="s">
        <v>145</v>
      </c>
      <c r="F432" s="38" t="s">
        <v>145</v>
      </c>
      <c r="G432" s="38" t="s">
        <v>146</v>
      </c>
    </row>
    <row r="433" spans="1:7" ht="17.25" thickBot="1">
      <c r="A433" s="148"/>
      <c r="B433" s="142"/>
      <c r="C433" s="146"/>
      <c r="D433" s="37" t="s">
        <v>247</v>
      </c>
      <c r="E433" s="38" t="s">
        <v>145</v>
      </c>
      <c r="F433" s="38" t="s">
        <v>145</v>
      </c>
      <c r="G433" s="38" t="s">
        <v>146</v>
      </c>
    </row>
    <row r="434" spans="1:7" ht="17.25" thickBot="1">
      <c r="A434" s="148"/>
      <c r="B434" s="142"/>
      <c r="C434" s="146"/>
      <c r="D434" s="37" t="s">
        <v>248</v>
      </c>
      <c r="E434" s="38" t="s">
        <v>145</v>
      </c>
      <c r="F434" s="38" t="s">
        <v>145</v>
      </c>
      <c r="G434" s="38" t="s">
        <v>146</v>
      </c>
    </row>
    <row r="435" spans="1:7" ht="17.25" thickBot="1">
      <c r="A435" s="148"/>
      <c r="B435" s="142"/>
      <c r="C435" s="145"/>
      <c r="D435" s="37" t="s">
        <v>209</v>
      </c>
      <c r="E435" s="38" t="s">
        <v>145</v>
      </c>
      <c r="F435" s="38" t="s">
        <v>146</v>
      </c>
      <c r="G435" s="38" t="s">
        <v>146</v>
      </c>
    </row>
    <row r="436" spans="1:7" ht="17.25" thickBot="1">
      <c r="A436" s="148"/>
      <c r="B436" s="142"/>
      <c r="C436" s="144" t="s">
        <v>214</v>
      </c>
      <c r="D436" s="37" t="s">
        <v>194</v>
      </c>
      <c r="E436" s="38" t="s">
        <v>145</v>
      </c>
      <c r="F436" s="38" t="s">
        <v>145</v>
      </c>
      <c r="G436" s="38" t="s">
        <v>146</v>
      </c>
    </row>
    <row r="437" spans="1:7" ht="17.25" thickBot="1">
      <c r="A437" s="148"/>
      <c r="B437" s="142"/>
      <c r="C437" s="146"/>
      <c r="D437" s="37" t="s">
        <v>215</v>
      </c>
      <c r="E437" s="38" t="s">
        <v>145</v>
      </c>
      <c r="F437" s="38" t="s">
        <v>145</v>
      </c>
      <c r="G437" s="38" t="s">
        <v>146</v>
      </c>
    </row>
    <row r="438" spans="1:7" ht="17.25" thickBot="1">
      <c r="A438" s="148"/>
      <c r="B438" s="142"/>
      <c r="C438" s="145"/>
      <c r="D438" s="37" t="s">
        <v>209</v>
      </c>
      <c r="E438" s="38" t="s">
        <v>145</v>
      </c>
      <c r="F438" s="38" t="s">
        <v>146</v>
      </c>
      <c r="G438" s="38" t="s">
        <v>146</v>
      </c>
    </row>
    <row r="439" spans="1:7" ht="17.25" thickBot="1">
      <c r="A439" s="148"/>
      <c r="B439" s="142"/>
      <c r="C439" s="144" t="s">
        <v>249</v>
      </c>
      <c r="D439" s="37" t="s">
        <v>250</v>
      </c>
      <c r="E439" s="38" t="s">
        <v>145</v>
      </c>
      <c r="F439" s="38" t="s">
        <v>146</v>
      </c>
      <c r="G439" s="38" t="s">
        <v>146</v>
      </c>
    </row>
    <row r="440" spans="1:7" ht="17.25" thickBot="1">
      <c r="A440" s="148"/>
      <c r="B440" s="142"/>
      <c r="C440" s="146"/>
      <c r="D440" s="37" t="s">
        <v>193</v>
      </c>
      <c r="E440" s="38" t="s">
        <v>145</v>
      </c>
      <c r="F440" s="38" t="s">
        <v>145</v>
      </c>
      <c r="G440" s="38" t="s">
        <v>146</v>
      </c>
    </row>
    <row r="441" spans="1:7" ht="17.25" thickBot="1">
      <c r="A441" s="148"/>
      <c r="B441" s="142"/>
      <c r="C441" s="146"/>
      <c r="D441" s="37" t="s">
        <v>194</v>
      </c>
      <c r="E441" s="38" t="s">
        <v>145</v>
      </c>
      <c r="F441" s="38" t="s">
        <v>145</v>
      </c>
      <c r="G441" s="38" t="s">
        <v>146</v>
      </c>
    </row>
    <row r="442" spans="1:7" ht="17.25" thickBot="1">
      <c r="A442" s="148"/>
      <c r="B442" s="142"/>
      <c r="C442" s="145"/>
      <c r="D442" s="37" t="s">
        <v>209</v>
      </c>
      <c r="E442" s="38" t="s">
        <v>145</v>
      </c>
      <c r="F442" s="38" t="s">
        <v>146</v>
      </c>
      <c r="G442" s="38" t="s">
        <v>146</v>
      </c>
    </row>
    <row r="443" spans="1:7" ht="17.25" thickBot="1">
      <c r="A443" s="148"/>
      <c r="B443" s="142"/>
      <c r="C443" s="144" t="s">
        <v>174</v>
      </c>
      <c r="D443" s="37" t="s">
        <v>158</v>
      </c>
      <c r="E443" s="38" t="s">
        <v>146</v>
      </c>
      <c r="F443" s="38" t="s">
        <v>145</v>
      </c>
      <c r="G443" s="38" t="s">
        <v>146</v>
      </c>
    </row>
    <row r="444" spans="1:7" ht="17.25" thickBot="1">
      <c r="A444" s="148"/>
      <c r="B444" s="142"/>
      <c r="C444" s="145"/>
      <c r="D444" s="37" t="s">
        <v>197</v>
      </c>
      <c r="E444" s="38" t="s">
        <v>146</v>
      </c>
      <c r="F444" s="38" t="s">
        <v>145</v>
      </c>
      <c r="G444" s="38" t="s">
        <v>146</v>
      </c>
    </row>
    <row r="445" spans="1:7" ht="17.25" thickBot="1">
      <c r="A445" s="148"/>
      <c r="B445" s="142"/>
      <c r="C445" s="144" t="s">
        <v>258</v>
      </c>
      <c r="D445" s="37" t="s">
        <v>172</v>
      </c>
      <c r="E445" s="38" t="s">
        <v>146</v>
      </c>
      <c r="F445" s="38" t="s">
        <v>145</v>
      </c>
      <c r="G445" s="38" t="s">
        <v>146</v>
      </c>
    </row>
    <row r="446" spans="1:7" ht="17.25" thickBot="1">
      <c r="A446" s="148"/>
      <c r="B446" s="142"/>
      <c r="C446" s="146"/>
      <c r="D446" s="37" t="s">
        <v>158</v>
      </c>
      <c r="E446" s="38" t="s">
        <v>146</v>
      </c>
      <c r="F446" s="38" t="s">
        <v>145</v>
      </c>
      <c r="G446" s="38" t="s">
        <v>146</v>
      </c>
    </row>
    <row r="447" spans="1:7" ht="17.25" thickBot="1">
      <c r="A447" s="148"/>
      <c r="B447" s="143"/>
      <c r="C447" s="145"/>
      <c r="D447" s="37" t="s">
        <v>197</v>
      </c>
      <c r="E447" s="38" t="s">
        <v>146</v>
      </c>
      <c r="F447" s="38" t="s">
        <v>145</v>
      </c>
      <c r="G447" s="38" t="s">
        <v>146</v>
      </c>
    </row>
    <row r="448" spans="1:7" ht="17.25" thickBot="1">
      <c r="A448" s="148"/>
      <c r="B448" s="141" t="s">
        <v>290</v>
      </c>
      <c r="C448" s="144" t="s">
        <v>185</v>
      </c>
      <c r="D448" s="37" t="s">
        <v>197</v>
      </c>
      <c r="E448" s="38" t="s">
        <v>146</v>
      </c>
      <c r="F448" s="38" t="s">
        <v>145</v>
      </c>
      <c r="G448" s="38" t="s">
        <v>146</v>
      </c>
    </row>
    <row r="449" spans="1:7" ht="17.25" thickBot="1">
      <c r="A449" s="148"/>
      <c r="B449" s="142"/>
      <c r="C449" s="145"/>
      <c r="D449" s="37" t="s">
        <v>209</v>
      </c>
      <c r="E449" s="38" t="s">
        <v>145</v>
      </c>
      <c r="F449" s="38" t="s">
        <v>146</v>
      </c>
      <c r="G449" s="38" t="s">
        <v>146</v>
      </c>
    </row>
    <row r="450" spans="1:7" ht="17.25" thickBot="1">
      <c r="A450" s="148"/>
      <c r="B450" s="142"/>
      <c r="C450" s="144" t="s">
        <v>243</v>
      </c>
      <c r="D450" s="37" t="s">
        <v>158</v>
      </c>
      <c r="E450" s="38" t="s">
        <v>146</v>
      </c>
      <c r="F450" s="38" t="s">
        <v>145</v>
      </c>
      <c r="G450" s="38" t="s">
        <v>146</v>
      </c>
    </row>
    <row r="451" spans="1:7" ht="17.25" thickBot="1">
      <c r="A451" s="148"/>
      <c r="B451" s="142"/>
      <c r="C451" s="146"/>
      <c r="D451" s="37" t="s">
        <v>160</v>
      </c>
      <c r="E451" s="38" t="s">
        <v>146</v>
      </c>
      <c r="F451" s="38" t="s">
        <v>145</v>
      </c>
      <c r="G451" s="38" t="s">
        <v>146</v>
      </c>
    </row>
    <row r="452" spans="1:7" ht="17.25" thickBot="1">
      <c r="A452" s="148"/>
      <c r="B452" s="142"/>
      <c r="C452" s="146"/>
      <c r="D452" s="37" t="s">
        <v>203</v>
      </c>
      <c r="E452" s="38" t="s">
        <v>145</v>
      </c>
      <c r="F452" s="38" t="s">
        <v>146</v>
      </c>
      <c r="G452" s="38" t="s">
        <v>146</v>
      </c>
    </row>
    <row r="453" spans="1:7" ht="17.25" thickBot="1">
      <c r="A453" s="148"/>
      <c r="B453" s="142"/>
      <c r="C453" s="145"/>
      <c r="D453" s="37" t="s">
        <v>209</v>
      </c>
      <c r="E453" s="38" t="s">
        <v>145</v>
      </c>
      <c r="F453" s="38" t="s">
        <v>146</v>
      </c>
      <c r="G453" s="38" t="s">
        <v>146</v>
      </c>
    </row>
    <row r="454" spans="1:7" ht="17.25" thickBot="1">
      <c r="A454" s="148"/>
      <c r="B454" s="142"/>
      <c r="C454" s="144" t="s">
        <v>244</v>
      </c>
      <c r="D454" s="37" t="s">
        <v>172</v>
      </c>
      <c r="E454" s="38" t="s">
        <v>146</v>
      </c>
      <c r="F454" s="38" t="s">
        <v>145</v>
      </c>
      <c r="G454" s="38" t="s">
        <v>146</v>
      </c>
    </row>
    <row r="455" spans="1:7" ht="17.25" thickBot="1">
      <c r="A455" s="148"/>
      <c r="B455" s="142"/>
      <c r="C455" s="145"/>
      <c r="D455" s="37" t="s">
        <v>197</v>
      </c>
      <c r="E455" s="38" t="s">
        <v>146</v>
      </c>
      <c r="F455" s="38" t="s">
        <v>145</v>
      </c>
      <c r="G455" s="38" t="s">
        <v>146</v>
      </c>
    </row>
    <row r="456" spans="1:7" ht="17.25" thickBot="1">
      <c r="A456" s="148"/>
      <c r="B456" s="142"/>
      <c r="C456" s="144" t="s">
        <v>245</v>
      </c>
      <c r="D456" s="37" t="s">
        <v>172</v>
      </c>
      <c r="E456" s="38" t="s">
        <v>146</v>
      </c>
      <c r="F456" s="38" t="s">
        <v>145</v>
      </c>
      <c r="G456" s="38" t="s">
        <v>146</v>
      </c>
    </row>
    <row r="457" spans="1:7" ht="17.25" thickBot="1">
      <c r="A457" s="148"/>
      <c r="B457" s="142"/>
      <c r="C457" s="146"/>
      <c r="D457" s="37" t="s">
        <v>158</v>
      </c>
      <c r="E457" s="38" t="s">
        <v>146</v>
      </c>
      <c r="F457" s="38" t="s">
        <v>145</v>
      </c>
      <c r="G457" s="38" t="s">
        <v>146</v>
      </c>
    </row>
    <row r="458" spans="1:7" ht="17.25" thickBot="1">
      <c r="A458" s="148"/>
      <c r="B458" s="142"/>
      <c r="C458" s="146"/>
      <c r="D458" s="37" t="s">
        <v>160</v>
      </c>
      <c r="E458" s="38" t="s">
        <v>146</v>
      </c>
      <c r="F458" s="38" t="s">
        <v>145</v>
      </c>
      <c r="G458" s="38" t="s">
        <v>146</v>
      </c>
    </row>
    <row r="459" spans="1:7" ht="17.25" thickBot="1">
      <c r="A459" s="148"/>
      <c r="B459" s="142"/>
      <c r="C459" s="145"/>
      <c r="D459" s="37" t="s">
        <v>197</v>
      </c>
      <c r="E459" s="38" t="s">
        <v>146</v>
      </c>
      <c r="F459" s="38" t="s">
        <v>145</v>
      </c>
      <c r="G459" s="38" t="s">
        <v>146</v>
      </c>
    </row>
    <row r="460" spans="1:7" ht="17.25" thickBot="1">
      <c r="A460" s="148"/>
      <c r="B460" s="142"/>
      <c r="C460" s="144" t="s">
        <v>210</v>
      </c>
      <c r="D460" s="37" t="s">
        <v>172</v>
      </c>
      <c r="E460" s="38" t="s">
        <v>146</v>
      </c>
      <c r="F460" s="38" t="s">
        <v>145</v>
      </c>
      <c r="G460" s="38" t="s">
        <v>146</v>
      </c>
    </row>
    <row r="461" spans="1:7" ht="17.25" thickBot="1">
      <c r="A461" s="148"/>
      <c r="B461" s="142"/>
      <c r="C461" s="146"/>
      <c r="D461" s="37" t="s">
        <v>158</v>
      </c>
      <c r="E461" s="38" t="s">
        <v>146</v>
      </c>
      <c r="F461" s="38" t="s">
        <v>145</v>
      </c>
      <c r="G461" s="38" t="s">
        <v>146</v>
      </c>
    </row>
    <row r="462" spans="1:7" ht="17.25" thickBot="1">
      <c r="A462" s="148"/>
      <c r="B462" s="142"/>
      <c r="C462" s="146"/>
      <c r="D462" s="37" t="s">
        <v>203</v>
      </c>
      <c r="E462" s="38" t="s">
        <v>145</v>
      </c>
      <c r="F462" s="38" t="s">
        <v>146</v>
      </c>
      <c r="G462" s="38" t="s">
        <v>146</v>
      </c>
    </row>
    <row r="463" spans="1:7" ht="17.25" thickBot="1">
      <c r="A463" s="148"/>
      <c r="B463" s="142"/>
      <c r="C463" s="146"/>
      <c r="D463" s="37" t="s">
        <v>197</v>
      </c>
      <c r="E463" s="38" t="s">
        <v>146</v>
      </c>
      <c r="F463" s="38" t="s">
        <v>145</v>
      </c>
      <c r="G463" s="38" t="s">
        <v>146</v>
      </c>
    </row>
    <row r="464" spans="1:7" ht="17.25" thickBot="1">
      <c r="A464" s="148"/>
      <c r="B464" s="142"/>
      <c r="C464" s="145"/>
      <c r="D464" s="37" t="s">
        <v>209</v>
      </c>
      <c r="E464" s="38" t="s">
        <v>145</v>
      </c>
      <c r="F464" s="38" t="s">
        <v>146</v>
      </c>
      <c r="G464" s="38" t="s">
        <v>146</v>
      </c>
    </row>
    <row r="465" spans="1:7" ht="17.25" thickBot="1">
      <c r="A465" s="148"/>
      <c r="B465" s="142"/>
      <c r="C465" s="144" t="s">
        <v>129</v>
      </c>
      <c r="D465" s="37" t="s">
        <v>172</v>
      </c>
      <c r="E465" s="38" t="s">
        <v>146</v>
      </c>
      <c r="F465" s="38" t="s">
        <v>145</v>
      </c>
      <c r="G465" s="38" t="s">
        <v>146</v>
      </c>
    </row>
    <row r="466" spans="1:7" ht="17.25" thickBot="1">
      <c r="A466" s="148"/>
      <c r="B466" s="142"/>
      <c r="C466" s="145"/>
      <c r="D466" s="37" t="s">
        <v>197</v>
      </c>
      <c r="E466" s="38" t="s">
        <v>146</v>
      </c>
      <c r="F466" s="38" t="s">
        <v>145</v>
      </c>
      <c r="G466" s="38" t="s">
        <v>146</v>
      </c>
    </row>
    <row r="467" spans="1:7" ht="17.25" thickBot="1">
      <c r="A467" s="148"/>
      <c r="B467" s="142"/>
      <c r="C467" s="144" t="s">
        <v>246</v>
      </c>
      <c r="D467" s="37" t="s">
        <v>194</v>
      </c>
      <c r="E467" s="38" t="s">
        <v>145</v>
      </c>
      <c r="F467" s="38" t="s">
        <v>145</v>
      </c>
      <c r="G467" s="38" t="s">
        <v>146</v>
      </c>
    </row>
    <row r="468" spans="1:7" ht="17.25" thickBot="1">
      <c r="A468" s="148"/>
      <c r="B468" s="142"/>
      <c r="C468" s="146"/>
      <c r="D468" s="37" t="s">
        <v>247</v>
      </c>
      <c r="E468" s="38" t="s">
        <v>145</v>
      </c>
      <c r="F468" s="38" t="s">
        <v>145</v>
      </c>
      <c r="G468" s="38" t="s">
        <v>146</v>
      </c>
    </row>
    <row r="469" spans="1:7" ht="17.25" thickBot="1">
      <c r="A469" s="148"/>
      <c r="B469" s="142"/>
      <c r="C469" s="146"/>
      <c r="D469" s="37" t="s">
        <v>248</v>
      </c>
      <c r="E469" s="38" t="s">
        <v>145</v>
      </c>
      <c r="F469" s="38" t="s">
        <v>145</v>
      </c>
      <c r="G469" s="38" t="s">
        <v>146</v>
      </c>
    </row>
    <row r="470" spans="1:7" ht="17.25" thickBot="1">
      <c r="A470" s="148"/>
      <c r="B470" s="142"/>
      <c r="C470" s="145"/>
      <c r="D470" s="37" t="s">
        <v>209</v>
      </c>
      <c r="E470" s="38" t="s">
        <v>145</v>
      </c>
      <c r="F470" s="38" t="s">
        <v>146</v>
      </c>
      <c r="G470" s="38" t="s">
        <v>146</v>
      </c>
    </row>
    <row r="471" spans="1:7" ht="17.25" thickBot="1">
      <c r="A471" s="148"/>
      <c r="B471" s="142"/>
      <c r="C471" s="144" t="s">
        <v>214</v>
      </c>
      <c r="D471" s="37" t="s">
        <v>194</v>
      </c>
      <c r="E471" s="38" t="s">
        <v>145</v>
      </c>
      <c r="F471" s="38" t="s">
        <v>145</v>
      </c>
      <c r="G471" s="38" t="s">
        <v>146</v>
      </c>
    </row>
    <row r="472" spans="1:7" ht="17.25" thickBot="1">
      <c r="A472" s="148"/>
      <c r="B472" s="142"/>
      <c r="C472" s="146"/>
      <c r="D472" s="37" t="s">
        <v>215</v>
      </c>
      <c r="E472" s="38" t="s">
        <v>145</v>
      </c>
      <c r="F472" s="38" t="s">
        <v>145</v>
      </c>
      <c r="G472" s="38" t="s">
        <v>146</v>
      </c>
    </row>
    <row r="473" spans="1:7" ht="17.25" thickBot="1">
      <c r="A473" s="148"/>
      <c r="B473" s="142"/>
      <c r="C473" s="145"/>
      <c r="D473" s="37" t="s">
        <v>209</v>
      </c>
      <c r="E473" s="38" t="s">
        <v>145</v>
      </c>
      <c r="F473" s="38" t="s">
        <v>146</v>
      </c>
      <c r="G473" s="38" t="s">
        <v>146</v>
      </c>
    </row>
    <row r="474" spans="1:7" ht="17.25" thickBot="1">
      <c r="A474" s="148"/>
      <c r="B474" s="142"/>
      <c r="C474" s="144" t="s">
        <v>249</v>
      </c>
      <c r="D474" s="37" t="s">
        <v>250</v>
      </c>
      <c r="E474" s="38" t="s">
        <v>145</v>
      </c>
      <c r="F474" s="38" t="s">
        <v>145</v>
      </c>
      <c r="G474" s="38" t="s">
        <v>146</v>
      </c>
    </row>
    <row r="475" spans="1:7" ht="17.25" thickBot="1">
      <c r="A475" s="148"/>
      <c r="B475" s="142"/>
      <c r="C475" s="146"/>
      <c r="D475" s="37" t="s">
        <v>193</v>
      </c>
      <c r="E475" s="38" t="s">
        <v>145</v>
      </c>
      <c r="F475" s="38" t="s">
        <v>145</v>
      </c>
      <c r="G475" s="38" t="s">
        <v>146</v>
      </c>
    </row>
    <row r="476" spans="1:7" ht="17.25" thickBot="1">
      <c r="A476" s="148"/>
      <c r="B476" s="142"/>
      <c r="C476" s="146"/>
      <c r="D476" s="37" t="s">
        <v>194</v>
      </c>
      <c r="E476" s="38" t="s">
        <v>145</v>
      </c>
      <c r="F476" s="38" t="s">
        <v>145</v>
      </c>
      <c r="G476" s="38" t="s">
        <v>146</v>
      </c>
    </row>
    <row r="477" spans="1:7" ht="17.25" thickBot="1">
      <c r="A477" s="148"/>
      <c r="B477" s="143"/>
      <c r="C477" s="145"/>
      <c r="D477" s="37" t="s">
        <v>209</v>
      </c>
      <c r="E477" s="38" t="s">
        <v>145</v>
      </c>
      <c r="F477" s="38" t="s">
        <v>146</v>
      </c>
      <c r="G477" s="38" t="s">
        <v>146</v>
      </c>
    </row>
    <row r="478" spans="1:7" ht="17.25" thickBot="1">
      <c r="A478" s="148"/>
      <c r="B478" s="141" t="s">
        <v>291</v>
      </c>
      <c r="C478" s="144" t="s">
        <v>252</v>
      </c>
      <c r="D478" s="37" t="s">
        <v>194</v>
      </c>
      <c r="E478" s="38" t="s">
        <v>145</v>
      </c>
      <c r="F478" s="38" t="s">
        <v>145</v>
      </c>
      <c r="G478" s="38" t="s">
        <v>146</v>
      </c>
    </row>
    <row r="479" spans="1:7" ht="17.25" thickBot="1">
      <c r="A479" s="148"/>
      <c r="B479" s="142"/>
      <c r="C479" s="145"/>
      <c r="D479" s="37" t="s">
        <v>208</v>
      </c>
      <c r="E479" s="38" t="s">
        <v>145</v>
      </c>
      <c r="F479" s="38" t="s">
        <v>145</v>
      </c>
      <c r="G479" s="38" t="s">
        <v>146</v>
      </c>
    </row>
    <row r="480" spans="1:7" ht="17.25" thickBot="1">
      <c r="A480" s="148"/>
      <c r="B480" s="142"/>
      <c r="C480" s="37" t="s">
        <v>191</v>
      </c>
      <c r="D480" s="37" t="s">
        <v>194</v>
      </c>
      <c r="E480" s="38" t="s">
        <v>145</v>
      </c>
      <c r="F480" s="38" t="s">
        <v>145</v>
      </c>
      <c r="G480" s="38" t="s">
        <v>146</v>
      </c>
    </row>
    <row r="481" spans="1:7" ht="17.25" thickBot="1">
      <c r="A481" s="148"/>
      <c r="B481" s="142"/>
      <c r="C481" s="144" t="s">
        <v>244</v>
      </c>
      <c r="D481" s="37" t="s">
        <v>160</v>
      </c>
      <c r="E481" s="38" t="s">
        <v>146</v>
      </c>
      <c r="F481" s="38" t="s">
        <v>145</v>
      </c>
      <c r="G481" s="38" t="s">
        <v>146</v>
      </c>
    </row>
    <row r="482" spans="1:7" ht="17.25" thickBot="1">
      <c r="A482" s="148"/>
      <c r="B482" s="142"/>
      <c r="C482" s="145"/>
      <c r="D482" s="37" t="s">
        <v>197</v>
      </c>
      <c r="E482" s="38" t="s">
        <v>146</v>
      </c>
      <c r="F482" s="38" t="s">
        <v>145</v>
      </c>
      <c r="G482" s="38" t="s">
        <v>146</v>
      </c>
    </row>
    <row r="483" spans="1:7" ht="17.25" thickBot="1">
      <c r="A483" s="148"/>
      <c r="B483" s="142"/>
      <c r="C483" s="37" t="s">
        <v>199</v>
      </c>
      <c r="D483" s="37" t="s">
        <v>182</v>
      </c>
      <c r="E483" s="38" t="s">
        <v>145</v>
      </c>
      <c r="F483" s="38" t="s">
        <v>145</v>
      </c>
      <c r="G483" s="38" t="s">
        <v>146</v>
      </c>
    </row>
    <row r="484" spans="1:7" ht="17.25" thickBot="1">
      <c r="A484" s="148"/>
      <c r="B484" s="142"/>
      <c r="C484" s="144" t="s">
        <v>179</v>
      </c>
      <c r="D484" s="37" t="s">
        <v>194</v>
      </c>
      <c r="E484" s="38" t="s">
        <v>145</v>
      </c>
      <c r="F484" s="38" t="s">
        <v>145</v>
      </c>
      <c r="G484" s="38" t="s">
        <v>146</v>
      </c>
    </row>
    <row r="485" spans="1:7" ht="17.25" thickBot="1">
      <c r="A485" s="148"/>
      <c r="B485" s="142"/>
      <c r="C485" s="146"/>
      <c r="D485" s="37" t="s">
        <v>208</v>
      </c>
      <c r="E485" s="38" t="s">
        <v>145</v>
      </c>
      <c r="F485" s="38" t="s">
        <v>145</v>
      </c>
      <c r="G485" s="38" t="s">
        <v>146</v>
      </c>
    </row>
    <row r="486" spans="1:7" ht="17.25" thickBot="1">
      <c r="A486" s="148"/>
      <c r="B486" s="142"/>
      <c r="C486" s="145"/>
      <c r="D486" s="37" t="s">
        <v>165</v>
      </c>
      <c r="E486" s="38" t="s">
        <v>145</v>
      </c>
      <c r="F486" s="38" t="s">
        <v>145</v>
      </c>
      <c r="G486" s="38" t="s">
        <v>146</v>
      </c>
    </row>
    <row r="487" spans="1:7" ht="17.25" thickBot="1">
      <c r="A487" s="148"/>
      <c r="B487" s="142"/>
      <c r="C487" s="144" t="s">
        <v>289</v>
      </c>
      <c r="D487" s="37" t="s">
        <v>194</v>
      </c>
      <c r="E487" s="38" t="s">
        <v>145</v>
      </c>
      <c r="F487" s="38" t="s">
        <v>145</v>
      </c>
      <c r="G487" s="38" t="s">
        <v>146</v>
      </c>
    </row>
    <row r="488" spans="1:7" ht="17.25" thickBot="1">
      <c r="A488" s="148"/>
      <c r="B488" s="142"/>
      <c r="C488" s="145"/>
      <c r="D488" s="37" t="s">
        <v>209</v>
      </c>
      <c r="E488" s="38" t="s">
        <v>145</v>
      </c>
      <c r="F488" s="38" t="s">
        <v>146</v>
      </c>
      <c r="G488" s="38" t="s">
        <v>146</v>
      </c>
    </row>
    <row r="489" spans="1:7" ht="17.25" thickBot="1">
      <c r="A489" s="148"/>
      <c r="B489" s="142"/>
      <c r="C489" s="144" t="s">
        <v>210</v>
      </c>
      <c r="D489" s="37" t="s">
        <v>160</v>
      </c>
      <c r="E489" s="38" t="s">
        <v>146</v>
      </c>
      <c r="F489" s="38" t="s">
        <v>145</v>
      </c>
      <c r="G489" s="38" t="s">
        <v>146</v>
      </c>
    </row>
    <row r="490" spans="1:7" ht="17.25" thickBot="1">
      <c r="A490" s="148"/>
      <c r="B490" s="142"/>
      <c r="C490" s="146"/>
      <c r="D490" s="37" t="s">
        <v>194</v>
      </c>
      <c r="E490" s="38" t="s">
        <v>145</v>
      </c>
      <c r="F490" s="38" t="s">
        <v>145</v>
      </c>
      <c r="G490" s="38" t="s">
        <v>146</v>
      </c>
    </row>
    <row r="491" spans="1:7" ht="17.25" thickBot="1">
      <c r="A491" s="148"/>
      <c r="B491" s="142"/>
      <c r="C491" s="146"/>
      <c r="D491" s="37" t="s">
        <v>203</v>
      </c>
      <c r="E491" s="38" t="s">
        <v>145</v>
      </c>
      <c r="F491" s="38" t="s">
        <v>145</v>
      </c>
      <c r="G491" s="38" t="s">
        <v>146</v>
      </c>
    </row>
    <row r="492" spans="1:7" ht="17.25" thickBot="1">
      <c r="A492" s="148"/>
      <c r="B492" s="142"/>
      <c r="C492" s="145"/>
      <c r="D492" s="37" t="s">
        <v>165</v>
      </c>
      <c r="E492" s="38" t="s">
        <v>145</v>
      </c>
      <c r="F492" s="38" t="s">
        <v>145</v>
      </c>
      <c r="G492" s="38" t="s">
        <v>146</v>
      </c>
    </row>
    <row r="493" spans="1:7" ht="17.25" thickBot="1">
      <c r="A493" s="148"/>
      <c r="B493" s="142"/>
      <c r="C493" s="144" t="s">
        <v>262</v>
      </c>
      <c r="D493" s="37" t="s">
        <v>194</v>
      </c>
      <c r="E493" s="38" t="s">
        <v>145</v>
      </c>
      <c r="F493" s="38" t="s">
        <v>145</v>
      </c>
      <c r="G493" s="38" t="s">
        <v>146</v>
      </c>
    </row>
    <row r="494" spans="1:7" ht="17.25" thickBot="1">
      <c r="A494" s="148"/>
      <c r="B494" s="142"/>
      <c r="C494" s="146"/>
      <c r="D494" s="37" t="s">
        <v>188</v>
      </c>
      <c r="E494" s="38" t="s">
        <v>145</v>
      </c>
      <c r="F494" s="38" t="s">
        <v>145</v>
      </c>
      <c r="G494" s="38" t="s">
        <v>146</v>
      </c>
    </row>
    <row r="495" spans="1:7" ht="17.25" thickBot="1">
      <c r="A495" s="148"/>
      <c r="B495" s="142"/>
      <c r="C495" s="145"/>
      <c r="D495" s="37" t="s">
        <v>215</v>
      </c>
      <c r="E495" s="38" t="s">
        <v>145</v>
      </c>
      <c r="F495" s="38" t="s">
        <v>145</v>
      </c>
      <c r="G495" s="38" t="s">
        <v>146</v>
      </c>
    </row>
    <row r="496" spans="1:7" ht="17.25" thickBot="1">
      <c r="A496" s="148"/>
      <c r="B496" s="142"/>
      <c r="C496" s="144" t="s">
        <v>214</v>
      </c>
      <c r="D496" s="37" t="s">
        <v>194</v>
      </c>
      <c r="E496" s="38" t="s">
        <v>145</v>
      </c>
      <c r="F496" s="38" t="s">
        <v>145</v>
      </c>
      <c r="G496" s="38" t="s">
        <v>146</v>
      </c>
    </row>
    <row r="497" spans="1:7" ht="17.25" thickBot="1">
      <c r="A497" s="149"/>
      <c r="B497" s="143"/>
      <c r="C497" s="145"/>
      <c r="D497" s="37" t="s">
        <v>215</v>
      </c>
      <c r="E497" s="38" t="s">
        <v>145</v>
      </c>
      <c r="F497" s="38" t="s">
        <v>145</v>
      </c>
      <c r="G497" s="38" t="s">
        <v>146</v>
      </c>
    </row>
  </sheetData>
  <mergeCells count="171">
    <mergeCell ref="A2:A10"/>
    <mergeCell ref="B2:B10"/>
    <mergeCell ref="C4:C5"/>
    <mergeCell ref="C6:C8"/>
    <mergeCell ref="A13:A20"/>
    <mergeCell ref="B13:B20"/>
    <mergeCell ref="C13:C14"/>
    <mergeCell ref="C19:C20"/>
    <mergeCell ref="C48:C50"/>
    <mergeCell ref="B52:B66"/>
    <mergeCell ref="C53:C56"/>
    <mergeCell ref="C58:C60"/>
    <mergeCell ref="C62:C64"/>
    <mergeCell ref="C65:C66"/>
    <mergeCell ref="A23:A29"/>
    <mergeCell ref="B23:B29"/>
    <mergeCell ref="C25:C26"/>
    <mergeCell ref="C27:C28"/>
    <mergeCell ref="A32:A95"/>
    <mergeCell ref="B32:B41"/>
    <mergeCell ref="C32:C35"/>
    <mergeCell ref="C37:C39"/>
    <mergeCell ref="B42:B51"/>
    <mergeCell ref="C43:C46"/>
    <mergeCell ref="B67:B75"/>
    <mergeCell ref="C67:C70"/>
    <mergeCell ref="C73:C75"/>
    <mergeCell ref="B76:B95"/>
    <mergeCell ref="C77:C79"/>
    <mergeCell ref="C80:C83"/>
    <mergeCell ref="C85:C87"/>
    <mergeCell ref="C88:C92"/>
    <mergeCell ref="C93:C94"/>
    <mergeCell ref="A98:A180"/>
    <mergeCell ref="B98:B118"/>
    <mergeCell ref="C99:C100"/>
    <mergeCell ref="C101:C102"/>
    <mergeCell ref="C103:C106"/>
    <mergeCell ref="C109:C110"/>
    <mergeCell ref="C116:C118"/>
    <mergeCell ref="B119:B142"/>
    <mergeCell ref="C120:C121"/>
    <mergeCell ref="C122:C123"/>
    <mergeCell ref="B157:B180"/>
    <mergeCell ref="C158:C159"/>
    <mergeCell ref="C160:C161"/>
    <mergeCell ref="C162:C165"/>
    <mergeCell ref="C167:C169"/>
    <mergeCell ref="C171:C172"/>
    <mergeCell ref="C178:C180"/>
    <mergeCell ref="C124:C127"/>
    <mergeCell ref="C129:C131"/>
    <mergeCell ref="C133:C134"/>
    <mergeCell ref="C140:C142"/>
    <mergeCell ref="B143:B156"/>
    <mergeCell ref="C145:C147"/>
    <mergeCell ref="C151:C152"/>
    <mergeCell ref="A183:A497"/>
    <mergeCell ref="B183:B212"/>
    <mergeCell ref="C185:C188"/>
    <mergeCell ref="C189:C190"/>
    <mergeCell ref="C191:C194"/>
    <mergeCell ref="C195:C199"/>
    <mergeCell ref="C200:C201"/>
    <mergeCell ref="C202:C205"/>
    <mergeCell ref="C206:C208"/>
    <mergeCell ref="C209:C212"/>
    <mergeCell ref="C262:C263"/>
    <mergeCell ref="C264:C265"/>
    <mergeCell ref="C235:C236"/>
    <mergeCell ref="B213:B240"/>
    <mergeCell ref="C213:C214"/>
    <mergeCell ref="C183:C184"/>
    <mergeCell ref="B266:B287"/>
    <mergeCell ref="C237:C238"/>
    <mergeCell ref="C239:C240"/>
    <mergeCell ref="C315:C317"/>
    <mergeCell ref="C266:C267"/>
    <mergeCell ref="C268:C269"/>
    <mergeCell ref="C271:C275"/>
    <mergeCell ref="C276:C278"/>
    <mergeCell ref="C154:C156"/>
    <mergeCell ref="C215:C216"/>
    <mergeCell ref="C218:C221"/>
    <mergeCell ref="C222:C224"/>
    <mergeCell ref="C225:C227"/>
    <mergeCell ref="C228:C232"/>
    <mergeCell ref="C233:C234"/>
    <mergeCell ref="B241:B265"/>
    <mergeCell ref="C241:C242"/>
    <mergeCell ref="C243:C244"/>
    <mergeCell ref="C246:C248"/>
    <mergeCell ref="C249:C251"/>
    <mergeCell ref="C252:C256"/>
    <mergeCell ref="C257:C259"/>
    <mergeCell ref="C260:C261"/>
    <mergeCell ref="C279:C283"/>
    <mergeCell ref="C284:C285"/>
    <mergeCell ref="C286:C287"/>
    <mergeCell ref="C318:C319"/>
    <mergeCell ref="C320:C323"/>
    <mergeCell ref="C324:C326"/>
    <mergeCell ref="C327:C330"/>
    <mergeCell ref="C331:C333"/>
    <mergeCell ref="B288:B346"/>
    <mergeCell ref="C288:C293"/>
    <mergeCell ref="C294:C295"/>
    <mergeCell ref="C296:C299"/>
    <mergeCell ref="C300:C303"/>
    <mergeCell ref="C304:C306"/>
    <mergeCell ref="C307:C308"/>
    <mergeCell ref="C309:C310"/>
    <mergeCell ref="C311:C312"/>
    <mergeCell ref="C313:C314"/>
    <mergeCell ref="C362:C363"/>
    <mergeCell ref="C364:C365"/>
    <mergeCell ref="C367:C368"/>
    <mergeCell ref="C369:C370"/>
    <mergeCell ref="C371:C374"/>
    <mergeCell ref="C376:C377"/>
    <mergeCell ref="C334:C335"/>
    <mergeCell ref="C336:C338"/>
    <mergeCell ref="C339:C340"/>
    <mergeCell ref="C341:C343"/>
    <mergeCell ref="C344:C345"/>
    <mergeCell ref="C347:C353"/>
    <mergeCell ref="C354:C355"/>
    <mergeCell ref="C356:C358"/>
    <mergeCell ref="C359:C361"/>
    <mergeCell ref="C378:C380"/>
    <mergeCell ref="C381:C382"/>
    <mergeCell ref="C383:C384"/>
    <mergeCell ref="C385:C386"/>
    <mergeCell ref="C387:C388"/>
    <mergeCell ref="B391:B447"/>
    <mergeCell ref="C392:C393"/>
    <mergeCell ref="C394:C397"/>
    <mergeCell ref="C398:C401"/>
    <mergeCell ref="C402:C403"/>
    <mergeCell ref="B347:B390"/>
    <mergeCell ref="C423:C429"/>
    <mergeCell ref="C430:C431"/>
    <mergeCell ref="C432:C435"/>
    <mergeCell ref="C436:C438"/>
    <mergeCell ref="C439:C442"/>
    <mergeCell ref="C443:C444"/>
    <mergeCell ref="C404:C407"/>
    <mergeCell ref="C408:C411"/>
    <mergeCell ref="C412:C413"/>
    <mergeCell ref="C414:C415"/>
    <mergeCell ref="C416:C420"/>
    <mergeCell ref="C421:C422"/>
    <mergeCell ref="C445:C447"/>
    <mergeCell ref="B478:B497"/>
    <mergeCell ref="C478:C479"/>
    <mergeCell ref="C481:C482"/>
    <mergeCell ref="C484:C486"/>
    <mergeCell ref="C487:C488"/>
    <mergeCell ref="C489:C492"/>
    <mergeCell ref="C493:C495"/>
    <mergeCell ref="C496:C497"/>
    <mergeCell ref="B448:B477"/>
    <mergeCell ref="C448:C449"/>
    <mergeCell ref="C450:C453"/>
    <mergeCell ref="C454:C455"/>
    <mergeCell ref="C456:C459"/>
    <mergeCell ref="C460:C464"/>
    <mergeCell ref="C465:C466"/>
    <mergeCell ref="C467:C470"/>
    <mergeCell ref="C471:C473"/>
    <mergeCell ref="C474:C477"/>
  </mergeCells>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44"/>
  <sheetViews>
    <sheetView workbookViewId="0">
      <selection activeCell="L2" sqref="L2"/>
    </sheetView>
  </sheetViews>
  <sheetFormatPr defaultRowHeight="16.5"/>
  <cols>
    <col min="1" max="1" width="9.25" customWidth="1"/>
    <col min="2" max="2" width="4.5" customWidth="1"/>
    <col min="3" max="4" width="3.75" customWidth="1"/>
    <col min="5" max="5" width="5.5" customWidth="1"/>
    <col min="6" max="6" width="14.75" customWidth="1"/>
    <col min="7" max="7" width="17.375" customWidth="1"/>
    <col min="8" max="9" width="6.25" customWidth="1"/>
    <col min="10" max="10" width="4.625" customWidth="1"/>
    <col min="11" max="11" width="21.25" customWidth="1"/>
    <col min="12" max="12" width="14.25" customWidth="1"/>
  </cols>
  <sheetData>
    <row r="1" spans="1:12" ht="49.5">
      <c r="A1" s="53" t="s">
        <v>292</v>
      </c>
      <c r="B1" s="13" t="s">
        <v>293</v>
      </c>
      <c r="C1" s="13" t="s">
        <v>294</v>
      </c>
      <c r="D1" s="13" t="s">
        <v>295</v>
      </c>
      <c r="E1" s="13" t="s">
        <v>296</v>
      </c>
      <c r="F1" s="14" t="s">
        <v>119</v>
      </c>
      <c r="G1" s="14" t="s">
        <v>120</v>
      </c>
      <c r="H1" s="14" t="s">
        <v>297</v>
      </c>
      <c r="I1" s="14" t="s">
        <v>298</v>
      </c>
      <c r="J1" s="14" t="s">
        <v>123</v>
      </c>
      <c r="K1" s="14" t="s">
        <v>299</v>
      </c>
      <c r="L1" s="15" t="s">
        <v>300</v>
      </c>
    </row>
    <row r="2" spans="1:12" ht="123.75" customHeight="1">
      <c r="A2" s="93"/>
      <c r="B2" s="94"/>
      <c r="C2" s="94"/>
      <c r="D2" s="94"/>
      <c r="E2" s="95"/>
      <c r="F2" s="96"/>
      <c r="G2" s="96"/>
      <c r="H2" s="97"/>
      <c r="I2" s="97"/>
      <c r="J2" s="96"/>
      <c r="K2" s="96"/>
      <c r="L2" s="57"/>
    </row>
    <row r="3" spans="1:12">
      <c r="A3" s="2"/>
      <c r="B3" s="2"/>
      <c r="C3" s="2"/>
      <c r="D3" s="2"/>
      <c r="E3" s="44"/>
      <c r="F3" s="1"/>
      <c r="G3" s="1"/>
      <c r="H3" s="45"/>
      <c r="I3" s="45"/>
      <c r="J3" s="1"/>
      <c r="K3" s="1"/>
      <c r="L3" s="55"/>
    </row>
    <row r="4" spans="1:12">
      <c r="A4" s="2"/>
      <c r="B4" s="2"/>
      <c r="C4" s="2"/>
      <c r="D4" s="2"/>
      <c r="E4" s="44"/>
      <c r="F4" s="1"/>
      <c r="G4" s="1"/>
      <c r="H4" s="45"/>
      <c r="I4" s="45"/>
      <c r="J4" s="1"/>
      <c r="K4" s="1"/>
      <c r="L4" s="52"/>
    </row>
    <row r="5" spans="1:12">
      <c r="A5" s="2"/>
      <c r="B5" s="2"/>
      <c r="C5" s="2"/>
      <c r="D5" s="2"/>
      <c r="E5" s="44"/>
      <c r="F5" s="1"/>
      <c r="G5" s="1"/>
      <c r="H5" s="45"/>
      <c r="I5" s="45"/>
      <c r="J5" s="1"/>
      <c r="K5" s="1"/>
      <c r="L5" s="52"/>
    </row>
    <row r="6" spans="1:12">
      <c r="A6" s="2"/>
      <c r="B6" s="2"/>
      <c r="C6" s="2"/>
      <c r="D6" s="2"/>
      <c r="E6" s="44"/>
      <c r="F6" s="1"/>
      <c r="G6" s="1"/>
      <c r="H6" s="45"/>
      <c r="I6" s="45"/>
      <c r="J6" s="1"/>
      <c r="K6" s="1"/>
      <c r="L6" s="52"/>
    </row>
    <row r="7" spans="1:12">
      <c r="A7" s="2"/>
      <c r="B7" s="2"/>
      <c r="C7" s="2"/>
      <c r="D7" s="2"/>
      <c r="E7" s="44"/>
      <c r="F7" s="1"/>
      <c r="G7" s="1"/>
      <c r="H7" s="45"/>
      <c r="I7" s="45"/>
      <c r="J7" s="1"/>
      <c r="K7" s="1"/>
      <c r="L7" s="52"/>
    </row>
    <row r="8" spans="1:12">
      <c r="A8" s="2"/>
      <c r="B8" s="2"/>
      <c r="C8" s="2"/>
      <c r="D8" s="2"/>
      <c r="E8" s="44"/>
      <c r="F8" s="1"/>
      <c r="G8" s="1"/>
      <c r="H8" s="45"/>
      <c r="I8" s="45"/>
      <c r="J8" s="1"/>
      <c r="K8" s="1"/>
      <c r="L8" s="52"/>
    </row>
    <row r="9" spans="1:12">
      <c r="A9" s="2"/>
      <c r="B9" s="2"/>
      <c r="C9" s="2"/>
      <c r="D9" s="2"/>
      <c r="E9" s="44"/>
      <c r="F9" s="1"/>
      <c r="G9" s="1"/>
      <c r="H9" s="45"/>
      <c r="I9" s="45"/>
      <c r="J9" s="1"/>
      <c r="K9" s="1"/>
      <c r="L9" s="52"/>
    </row>
    <row r="10" spans="1:12">
      <c r="A10" s="2"/>
      <c r="B10" s="2"/>
      <c r="C10" s="2"/>
      <c r="D10" s="2"/>
      <c r="E10" s="44"/>
      <c r="F10" s="1"/>
      <c r="G10" s="1"/>
      <c r="H10" s="45"/>
      <c r="I10" s="45"/>
      <c r="J10" s="1"/>
      <c r="K10" s="1"/>
      <c r="L10" s="52"/>
    </row>
    <row r="11" spans="1:12">
      <c r="A11" s="2"/>
      <c r="B11" s="2"/>
      <c r="C11" s="2"/>
      <c r="D11" s="2"/>
      <c r="E11" s="44"/>
      <c r="F11" s="1"/>
      <c r="G11" s="1"/>
      <c r="H11" s="45"/>
      <c r="I11" s="45"/>
      <c r="J11" s="1"/>
      <c r="K11" s="1"/>
      <c r="L11" s="52"/>
    </row>
    <row r="12" spans="1:12">
      <c r="A12" s="2"/>
      <c r="B12" s="2"/>
      <c r="C12" s="2"/>
      <c r="D12" s="2"/>
      <c r="E12" s="44"/>
      <c r="F12" s="1"/>
      <c r="G12" s="1"/>
      <c r="H12" s="45"/>
      <c r="I12" s="45"/>
      <c r="J12" s="1"/>
      <c r="K12" s="1"/>
      <c r="L12" s="52"/>
    </row>
    <row r="13" spans="1:12">
      <c r="A13" s="2"/>
      <c r="B13" s="2"/>
      <c r="C13" s="2"/>
      <c r="D13" s="2"/>
      <c r="E13" s="44"/>
      <c r="F13" s="1"/>
      <c r="G13" s="1"/>
      <c r="H13" s="45"/>
      <c r="I13" s="45"/>
      <c r="J13" s="1"/>
      <c r="K13" s="1"/>
      <c r="L13" s="52"/>
    </row>
    <row r="14" spans="1:12">
      <c r="A14" s="44"/>
      <c r="B14" s="2"/>
      <c r="C14" s="2"/>
      <c r="D14" s="2"/>
      <c r="E14" s="44"/>
      <c r="F14" s="1"/>
      <c r="G14" s="1"/>
      <c r="H14" s="45"/>
      <c r="I14" s="45"/>
      <c r="J14" s="1"/>
      <c r="K14" s="1"/>
      <c r="L14" s="52"/>
    </row>
    <row r="44" spans="1:12" ht="110.25">
      <c r="A44" s="88" t="s">
        <v>125</v>
      </c>
      <c r="B44" s="89">
        <v>3</v>
      </c>
      <c r="C44" s="89">
        <v>3</v>
      </c>
      <c r="D44" s="89">
        <v>4</v>
      </c>
      <c r="E44" s="90">
        <f>MAX(B44:D44)</f>
        <v>4</v>
      </c>
      <c r="F44" s="91" t="s">
        <v>281</v>
      </c>
      <c r="G44" s="91" t="s">
        <v>301</v>
      </c>
      <c r="H44" s="92">
        <v>3</v>
      </c>
      <c r="I44" s="92">
        <v>4</v>
      </c>
      <c r="J44" s="91">
        <f>E44*H44*I44</f>
        <v>48</v>
      </c>
      <c r="K44" s="91" t="s">
        <v>302</v>
      </c>
      <c r="L44" s="56" t="s">
        <v>303</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C18"/>
  <sheetViews>
    <sheetView workbookViewId="0">
      <selection activeCell="B12" sqref="B12"/>
    </sheetView>
  </sheetViews>
  <sheetFormatPr defaultRowHeight="16.5"/>
  <cols>
    <col min="1" max="1" width="19.875" customWidth="1"/>
    <col min="2" max="2" width="32" customWidth="1"/>
    <col min="3" max="3" width="20.125" customWidth="1"/>
  </cols>
  <sheetData>
    <row r="1" spans="1:3" ht="20.25" thickBot="1">
      <c r="A1" s="5" t="s">
        <v>304</v>
      </c>
      <c r="B1" s="6" t="s">
        <v>305</v>
      </c>
      <c r="C1" s="5" t="s">
        <v>306</v>
      </c>
    </row>
    <row r="2" spans="1:3" ht="17.25" thickBot="1">
      <c r="A2" s="7" t="s">
        <v>307</v>
      </c>
      <c r="B2" s="8" t="s">
        <v>308</v>
      </c>
      <c r="C2" s="9" t="s">
        <v>309</v>
      </c>
    </row>
    <row r="3" spans="1:3" ht="33.75" thickBot="1">
      <c r="A3" s="7" t="s">
        <v>310</v>
      </c>
      <c r="B3" s="8" t="s">
        <v>311</v>
      </c>
      <c r="C3" s="9" t="s">
        <v>312</v>
      </c>
    </row>
    <row r="4" spans="1:3" ht="17.25" thickBot="1">
      <c r="A4" s="7" t="s">
        <v>313</v>
      </c>
      <c r="B4" s="8" t="s">
        <v>314</v>
      </c>
      <c r="C4" s="9" t="s">
        <v>315</v>
      </c>
    </row>
    <row r="5" spans="1:3" ht="17.25" thickBot="1">
      <c r="A5" s="7" t="s">
        <v>316</v>
      </c>
      <c r="B5" s="8" t="s">
        <v>317</v>
      </c>
      <c r="C5" s="9" t="s">
        <v>318</v>
      </c>
    </row>
    <row r="6" spans="1:3" ht="33.75" thickBot="1">
      <c r="A6" s="7" t="s">
        <v>319</v>
      </c>
      <c r="B6" s="8" t="s">
        <v>320</v>
      </c>
      <c r="C6" s="9" t="s">
        <v>321</v>
      </c>
    </row>
    <row r="7" spans="1:3" ht="17.25" thickBot="1">
      <c r="A7" s="7" t="s">
        <v>322</v>
      </c>
      <c r="B7" s="8" t="s">
        <v>323</v>
      </c>
      <c r="C7" s="9" t="s">
        <v>324</v>
      </c>
    </row>
    <row r="8" spans="1:3" ht="17.25" thickBot="1">
      <c r="A8" s="7" t="s">
        <v>325</v>
      </c>
      <c r="B8" s="8" t="s">
        <v>326</v>
      </c>
      <c r="C8" s="9" t="s">
        <v>318</v>
      </c>
    </row>
    <row r="9" spans="1:3" ht="17.25" thickBot="1">
      <c r="A9" s="7" t="s">
        <v>327</v>
      </c>
      <c r="B9" s="8" t="s">
        <v>328</v>
      </c>
      <c r="C9" s="9" t="s">
        <v>329</v>
      </c>
    </row>
    <row r="10" spans="1:3" ht="17.25" thickBot="1">
      <c r="A10" s="7" t="s">
        <v>330</v>
      </c>
      <c r="B10" s="8" t="s">
        <v>331</v>
      </c>
      <c r="C10" s="9" t="s">
        <v>332</v>
      </c>
    </row>
    <row r="11" spans="1:3" ht="17.25" thickBot="1">
      <c r="A11" s="7" t="s">
        <v>333</v>
      </c>
      <c r="B11" s="8" t="s">
        <v>334</v>
      </c>
      <c r="C11" s="9" t="s">
        <v>332</v>
      </c>
    </row>
    <row r="12" spans="1:3" ht="33.75" thickBot="1">
      <c r="A12" s="7" t="s">
        <v>335</v>
      </c>
      <c r="B12" s="8" t="s">
        <v>336</v>
      </c>
      <c r="C12" s="9" t="s">
        <v>337</v>
      </c>
    </row>
    <row r="13" spans="1:3" ht="17.25" thickBot="1">
      <c r="A13" s="7" t="s">
        <v>338</v>
      </c>
      <c r="B13" s="8" t="s">
        <v>339</v>
      </c>
      <c r="C13" s="9" t="s">
        <v>340</v>
      </c>
    </row>
    <row r="14" spans="1:3" ht="17.25" thickBot="1">
      <c r="A14" s="7" t="s">
        <v>341</v>
      </c>
      <c r="B14" s="10"/>
      <c r="C14" s="9" t="s">
        <v>342</v>
      </c>
    </row>
    <row r="15" spans="1:3" ht="33.75" thickBot="1">
      <c r="A15" s="11" t="s">
        <v>343</v>
      </c>
      <c r="B15" s="8" t="s">
        <v>344</v>
      </c>
      <c r="C15" s="9" t="s">
        <v>345</v>
      </c>
    </row>
    <row r="16" spans="1:3" ht="17.25" thickBot="1">
      <c r="A16" s="7" t="s">
        <v>346</v>
      </c>
      <c r="B16" s="8" t="s">
        <v>347</v>
      </c>
      <c r="C16" s="9" t="s">
        <v>348</v>
      </c>
    </row>
    <row r="17" spans="1:3" ht="50.25" thickBot="1">
      <c r="A17" s="7" t="s">
        <v>349</v>
      </c>
      <c r="B17" s="70" t="s">
        <v>350</v>
      </c>
      <c r="C17" s="9" t="s">
        <v>351</v>
      </c>
    </row>
    <row r="18" spans="1:3" ht="17.25" thickBot="1">
      <c r="A18" s="12" t="s">
        <v>352</v>
      </c>
      <c r="B18" s="9" t="s">
        <v>353</v>
      </c>
      <c r="C18" s="9" t="s">
        <v>354</v>
      </c>
    </row>
  </sheetData>
  <phoneticPr fontId="2" type="noConversion"/>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98"/>
  <sheetViews>
    <sheetView workbookViewId="0">
      <selection activeCell="K9" sqref="K9"/>
    </sheetView>
  </sheetViews>
  <sheetFormatPr defaultRowHeight="16.5"/>
  <cols>
    <col min="2" max="2" width="13.125" customWidth="1"/>
    <col min="3" max="3" width="10.875" customWidth="1"/>
    <col min="4" max="4" width="12.875" customWidth="1"/>
    <col min="5" max="5" width="25.5" customWidth="1"/>
    <col min="6" max="6" width="9.125" customWidth="1"/>
    <col min="7" max="7" width="7.125" customWidth="1"/>
    <col min="8" max="8" width="15.5" customWidth="1"/>
    <col min="9" max="9" width="9.5" customWidth="1"/>
    <col min="10" max="10" width="8.75" customWidth="1"/>
    <col min="11" max="11" width="29.25" customWidth="1"/>
  </cols>
  <sheetData>
    <row r="1" spans="1:12" ht="17.25" customHeight="1" thickBot="1">
      <c r="A1" s="3"/>
      <c r="B1" s="163" t="s">
        <v>355</v>
      </c>
      <c r="C1" s="163" t="s">
        <v>292</v>
      </c>
      <c r="D1" s="163" t="s">
        <v>123</v>
      </c>
      <c r="E1" s="163" t="s">
        <v>356</v>
      </c>
      <c r="F1" s="163" t="s">
        <v>357</v>
      </c>
      <c r="G1" s="163" t="s">
        <v>358</v>
      </c>
      <c r="H1" s="4" t="s">
        <v>359</v>
      </c>
      <c r="I1" s="163" t="s">
        <v>360</v>
      </c>
      <c r="J1" s="163" t="s">
        <v>361</v>
      </c>
      <c r="K1" s="163" t="s">
        <v>362</v>
      </c>
    </row>
    <row r="2" spans="1:12" ht="60.95" customHeight="1" thickBot="1">
      <c r="A2" s="3"/>
      <c r="B2" s="163"/>
      <c r="C2" s="163"/>
      <c r="D2" s="163"/>
      <c r="E2" s="163"/>
      <c r="F2" s="163"/>
      <c r="G2" s="163"/>
      <c r="H2" s="109" t="s">
        <v>363</v>
      </c>
      <c r="I2" s="163"/>
      <c r="J2" s="163"/>
      <c r="K2" s="163"/>
    </row>
    <row r="3" spans="1:12" hidden="1">
      <c r="B3" s="103"/>
      <c r="K3" s="104"/>
    </row>
    <row r="4" spans="1:12" hidden="1">
      <c r="B4" s="103"/>
      <c r="K4" s="104"/>
    </row>
    <row r="5" spans="1:12" ht="17.45" customHeight="1">
      <c r="A5" s="3"/>
      <c r="B5" s="112"/>
      <c r="C5" s="94"/>
      <c r="D5" s="95"/>
      <c r="E5" s="110"/>
      <c r="F5" s="111"/>
      <c r="G5" s="111"/>
      <c r="H5" s="111"/>
      <c r="I5" s="96"/>
      <c r="J5" s="96"/>
      <c r="K5" s="113"/>
      <c r="L5" s="99"/>
    </row>
    <row r="6" spans="1:12" ht="17.25" thickBot="1">
      <c r="A6" s="3"/>
      <c r="B6" s="105"/>
      <c r="C6" s="106"/>
      <c r="D6" s="106"/>
      <c r="E6" s="107"/>
      <c r="F6" s="108"/>
      <c r="G6" s="108"/>
      <c r="H6" s="108"/>
      <c r="I6" s="106"/>
      <c r="J6" s="106"/>
      <c r="K6" s="114"/>
      <c r="L6" s="99"/>
    </row>
    <row r="97" spans="1:12" ht="17.45" customHeight="1" thickTop="1">
      <c r="A97" s="3"/>
      <c r="B97" s="100" t="s">
        <v>364</v>
      </c>
      <c r="C97" s="89" t="s">
        <v>365</v>
      </c>
      <c r="D97" s="90">
        <v>48</v>
      </c>
      <c r="E97" s="153" t="s">
        <v>366</v>
      </c>
      <c r="F97" s="155" t="s">
        <v>367</v>
      </c>
      <c r="G97" s="155" t="s">
        <v>368</v>
      </c>
      <c r="H97" s="155" t="s">
        <v>369</v>
      </c>
      <c r="I97" s="157" t="s">
        <v>370</v>
      </c>
      <c r="J97" s="159" t="s">
        <v>371</v>
      </c>
      <c r="K97" s="161" t="s">
        <v>372</v>
      </c>
    </row>
    <row r="98" spans="1:12" ht="77.45" customHeight="1" thickBot="1">
      <c r="A98" s="3"/>
      <c r="B98" s="101" t="s">
        <v>373</v>
      </c>
      <c r="C98" s="98" t="s">
        <v>126</v>
      </c>
      <c r="D98" s="98" t="s">
        <v>127</v>
      </c>
      <c r="E98" s="154"/>
      <c r="F98" s="156"/>
      <c r="G98" s="156"/>
      <c r="H98" s="156"/>
      <c r="I98" s="158"/>
      <c r="J98" s="160"/>
      <c r="K98" s="162"/>
      <c r="L98" s="54"/>
    </row>
  </sheetData>
  <mergeCells count="16">
    <mergeCell ref="B1:B2"/>
    <mergeCell ref="C1:C2"/>
    <mergeCell ref="D1:D2"/>
    <mergeCell ref="E1:E2"/>
    <mergeCell ref="F1:F2"/>
    <mergeCell ref="J97:J98"/>
    <mergeCell ref="K97:K98"/>
    <mergeCell ref="G1:G2"/>
    <mergeCell ref="I1:I2"/>
    <mergeCell ref="J1:J2"/>
    <mergeCell ref="K1:K2"/>
    <mergeCell ref="E97:E98"/>
    <mergeCell ref="F97:F98"/>
    <mergeCell ref="G97:G98"/>
    <mergeCell ref="H97:H98"/>
    <mergeCell ref="I97:I98"/>
  </mergeCells>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E20"/>
  <sheetViews>
    <sheetView workbookViewId="0">
      <selection activeCell="F22" sqref="F22"/>
    </sheetView>
  </sheetViews>
  <sheetFormatPr defaultColWidth="8.75" defaultRowHeight="16.5"/>
  <cols>
    <col min="1" max="1" width="12" style="19" customWidth="1"/>
    <col min="2" max="2" width="10.625" style="19" customWidth="1"/>
    <col min="3" max="3" width="8.75" style="3"/>
    <col min="4" max="4" width="17.625" style="3" customWidth="1"/>
    <col min="5" max="16384" width="8.75" style="3"/>
  </cols>
  <sheetData>
    <row r="1" spans="1:2">
      <c r="A1" s="16" t="s">
        <v>374</v>
      </c>
      <c r="B1" s="16" t="s">
        <v>375</v>
      </c>
    </row>
    <row r="2" spans="1:2">
      <c r="A2" s="17">
        <v>56</v>
      </c>
      <c r="B2" s="17">
        <f>COUNTIF(風險評鑑報告!$J$2:$J$30,A2)</f>
        <v>0</v>
      </c>
    </row>
    <row r="3" spans="1:2">
      <c r="A3" s="17">
        <v>48</v>
      </c>
      <c r="B3" s="17">
        <f>COUNTIF(風險評鑑報告!$J$2:$J$30,A3)</f>
        <v>0</v>
      </c>
    </row>
    <row r="4" spans="1:2">
      <c r="A4" s="17">
        <v>44</v>
      </c>
      <c r="B4" s="17">
        <f>COUNTIF(風險評鑑報告!$J$2:$J$30,A4)</f>
        <v>0</v>
      </c>
    </row>
    <row r="5" spans="1:2">
      <c r="A5" s="17">
        <v>40</v>
      </c>
      <c r="B5" s="17">
        <f>COUNTIF(風險評鑑報告!$J$2:$J$30,A5)</f>
        <v>0</v>
      </c>
    </row>
    <row r="6" spans="1:2">
      <c r="A6" s="17">
        <v>36</v>
      </c>
      <c r="B6" s="17">
        <f>COUNTIF(風險評鑑報告!$J$2:$J$30,A6)</f>
        <v>0</v>
      </c>
    </row>
    <row r="7" spans="1:2">
      <c r="A7" s="17">
        <v>32</v>
      </c>
      <c r="B7" s="17">
        <f>COUNTIF(風險評鑑報告!$J$2:$J$30,A7)</f>
        <v>0</v>
      </c>
    </row>
    <row r="8" spans="1:2">
      <c r="A8" s="17">
        <v>28</v>
      </c>
      <c r="B8" s="17">
        <f>COUNTIF(風險評鑑報告!$J$2:$J$30,A8)</f>
        <v>0</v>
      </c>
    </row>
    <row r="9" spans="1:2">
      <c r="A9" s="17">
        <v>24</v>
      </c>
      <c r="B9" s="17">
        <f>COUNTIF(風險評鑑報告!$J$2:$J$30,A9)</f>
        <v>0</v>
      </c>
    </row>
    <row r="10" spans="1:2">
      <c r="A10" s="17">
        <v>20</v>
      </c>
      <c r="B10" s="17">
        <f>COUNTIF(風險評鑑報告!$J$2:$J$30,A10)</f>
        <v>0</v>
      </c>
    </row>
    <row r="11" spans="1:2">
      <c r="A11" s="17">
        <v>16</v>
      </c>
      <c r="B11" s="17">
        <f>COUNTIF(風險評鑑報告!$J$2:$J$30,A11)</f>
        <v>0</v>
      </c>
    </row>
    <row r="12" spans="1:2">
      <c r="A12" s="17">
        <v>12</v>
      </c>
      <c r="B12" s="17">
        <f>COUNTIF(風險評鑑報告!$J$2:$J$30,A12)</f>
        <v>0</v>
      </c>
    </row>
    <row r="13" spans="1:2">
      <c r="A13" s="17">
        <v>8</v>
      </c>
      <c r="B13" s="17">
        <f>COUNTIF(風險評鑑報告!$J$2:$J$30,A13)</f>
        <v>0</v>
      </c>
    </row>
    <row r="14" spans="1:2">
      <c r="A14" s="17">
        <v>6</v>
      </c>
      <c r="B14" s="17">
        <f>COUNTIF(風險評鑑報告!$J$2:$J$30,A14)</f>
        <v>0</v>
      </c>
    </row>
    <row r="15" spans="1:2">
      <c r="A15" s="17">
        <v>4</v>
      </c>
      <c r="B15" s="17">
        <f>COUNTIF(風險評鑑報告!$J$2:$J$30,A15)</f>
        <v>0</v>
      </c>
    </row>
    <row r="16" spans="1:2">
      <c r="A16" s="17">
        <v>3</v>
      </c>
      <c r="B16" s="17">
        <f>COUNTIF(風險評鑑報告!$J$2:$J$30,A16)</f>
        <v>0</v>
      </c>
    </row>
    <row r="17" spans="1:5">
      <c r="A17" s="17">
        <v>2</v>
      </c>
      <c r="B17" s="17">
        <f>COUNTIF(風險評鑑報告!$J$2:$J$30,A17)</f>
        <v>0</v>
      </c>
    </row>
    <row r="18" spans="1:5">
      <c r="A18" s="17">
        <v>1</v>
      </c>
      <c r="B18" s="17">
        <f>COUNTIF(風險評鑑報告!$J$2:$J$30,A18)</f>
        <v>0</v>
      </c>
    </row>
    <row r="20" spans="1:5">
      <c r="A20" s="16" t="s">
        <v>376</v>
      </c>
      <c r="B20" s="17">
        <f>SUM(B2:B18)</f>
        <v>0</v>
      </c>
      <c r="D20" s="18" t="s">
        <v>377</v>
      </c>
      <c r="E20" s="3">
        <v>15</v>
      </c>
    </row>
  </sheetData>
  <phoneticPr fontId="2" type="noConversion"/>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文件" ma:contentTypeID="0x01010038D65A228B573C4C94E4DFD4AFE1964D" ma:contentTypeVersion="0" ma:contentTypeDescription="建立新的文件。" ma:contentTypeScope="" ma:versionID="fb5510e92502559977738c74e2c94a4c">
  <xsd:schema xmlns:xsd="http://www.w3.org/2001/XMLSchema" xmlns:xs="http://www.w3.org/2001/XMLSchema" xmlns:p="http://schemas.microsoft.com/office/2006/metadata/properties" targetNamespace="http://schemas.microsoft.com/office/2006/metadata/properties" ma:root="true" ma:fieldsID="a3a031ce8001deadc4b2b294bd147a4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9FD5F2C-3A6D-4F41-96D1-BCBDED23DE81}"/>
</file>

<file path=customXml/itemProps2.xml><?xml version="1.0" encoding="utf-8"?>
<ds:datastoreItem xmlns:ds="http://schemas.openxmlformats.org/officeDocument/2006/customXml" ds:itemID="{38CF9D61-99AF-4A29-9AAE-63F5FCF4A72F}"/>
</file>

<file path=customXml/itemProps3.xml><?xml version="1.0" encoding="utf-8"?>
<ds:datastoreItem xmlns:ds="http://schemas.openxmlformats.org/officeDocument/2006/customXml" ds:itemID="{E1961E93-C5DF-49FB-9AC7-B355049F8CC3}"/>
</file>

<file path=docProps/app.xml><?xml version="1.0" encoding="utf-8"?>
<Properties xmlns="http://schemas.openxmlformats.org/officeDocument/2006/extended-properties" xmlns:vt="http://schemas.openxmlformats.org/officeDocument/2006/docPropsVTypes">
  <Application>Microsoft Excel Online</Application>
  <Manager/>
  <Company>金門縣警察局</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資訊資產清冊</dc:title>
  <dc:subject/>
  <dc:creator>Vicky</dc:creator>
  <cp:keywords>1.0</cp:keywords>
  <dc:description/>
  <cp:lastModifiedBy>陳怡萍</cp:lastModifiedBy>
  <cp:revision/>
  <dcterms:created xsi:type="dcterms:W3CDTF">2005-04-28T02:44:59Z</dcterms:created>
  <dcterms:modified xsi:type="dcterms:W3CDTF">2025-08-15T07:35:40Z</dcterms:modified>
  <cp:category>密</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0x01010038D65A228B573C4C94E4DFD4AFE1964D</vt:lpwstr>
  </property>
  <property fmtid="{D5CDD505-2E9C-101B-9397-08002B2CF9AE}" pid="3" name="MediaServiceImageTags">
    <vt:lpwstr/>
  </property>
  <property fmtid="{D5CDD505-2E9C-101B-9397-08002B2CF9AE}" pid="4" name="Order">
    <vt:r8>2095500</vt:r8>
  </property>
  <property fmtid="{D5CDD505-2E9C-101B-9397-08002B2CF9AE}" pid="5" name="xd_Signature">
    <vt:bool>false</vt:bool>
  </property>
  <property fmtid="{D5CDD505-2E9C-101B-9397-08002B2CF9AE}" pid="6" name="xd_ProgID">
    <vt:lpwstr/>
  </property>
  <property fmtid="{D5CDD505-2E9C-101B-9397-08002B2CF9AE}" pid="7" name="TriggerFlowInfo">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ies>
</file>